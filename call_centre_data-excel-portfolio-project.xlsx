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02"/>
  <workbookPr/>
  <mc:AlternateContent xmlns:mc="http://schemas.openxmlformats.org/markup-compatibility/2006">
    <mc:Choice Requires="x15">
      <x15ac:absPath xmlns:x15ac="http://schemas.microsoft.com/office/spreadsheetml/2010/11/ac" url="https://d.docs.live.net/14dec523eda38fe0/Desktop/Excel project/"/>
    </mc:Choice>
  </mc:AlternateContent>
  <xr:revisionPtr revIDLastSave="60" documentId="8_{9509403B-0C2D-4AFA-8462-6F4A12FAC75A}" xr6:coauthVersionLast="47" xr6:coauthVersionMax="47" xr10:uidLastSave="{D410B4DD-973E-4D03-A69E-C5689F0EE3B4}"/>
  <bookViews>
    <workbookView xWindow="-108" yWindow="-108" windowWidth="23256" windowHeight="13896" firstSheet="3" activeTab="3" xr2:uid="{26D4546B-D2A1-4444-8EAF-A6228F96F0C1}"/>
  </bookViews>
  <sheets>
    <sheet name="pivot" sheetId="6" r:id="rId1"/>
    <sheet name="Data" sheetId="2" r:id="rId2"/>
    <sheet name="Assets" sheetId="4" r:id="rId3"/>
    <sheet name="Customer care report" sheetId="5" r:id="rId4"/>
  </sheets>
  <definedNames>
    <definedName name="_xlnm._FilterDatabase" localSheetId="1" hidden="1">Data!$B$3:$H$1003</definedName>
    <definedName name="_xlcn.WorksheetConnection_sampledataexcelportfolioproject.xlsxcalls" hidden="1">calls[]</definedName>
    <definedName name="_xlcn.WorksheetConnection_sampledataexcelportfolioproject.xlsxcustomers" hidden="1">customers[]</definedName>
    <definedName name="Slicer_Representative">#N/A</definedName>
  </definedNames>
  <calcPr calcId="191028"/>
  <pivotCaches>
    <pivotCache cacheId="5668" r:id="rId5"/>
    <pivotCache cacheId="5669" r:id="rId6"/>
    <pivotCache cacheId="5670" r:id="rId7"/>
    <pivotCache cacheId="5671" r:id="rId8"/>
    <pivotCache cacheId="5672" r:id="rId9"/>
    <pivotCache cacheId="5673" r:id="rId10"/>
    <pivotCache cacheId="5674" r:id="rId11"/>
    <pivotCache cacheId="5675" r:id="rId12"/>
    <pivotCache cacheId="5676" r:id="rId13"/>
  </pivotCaches>
  <extLst>
    <ext xmlns:x14="http://schemas.microsoft.com/office/spreadsheetml/2009/9/main" uri="{876F7934-8845-4945-9796-88D515C7AA90}">
      <x14:pivotCaches>
        <pivotCache cacheId="567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6" i="5" l="1"/>
  <c r="U27" i="5"/>
  <c r="V27" i="5"/>
  <c r="W27" i="5"/>
  <c r="X27" i="5"/>
  <c r="Y27" i="5"/>
  <c r="Z27" i="5"/>
  <c r="AA27" i="5"/>
  <c r="U28" i="5"/>
  <c r="V28" i="5"/>
  <c r="W28" i="5"/>
  <c r="X28" i="5"/>
  <c r="Y28" i="5"/>
  <c r="Z28" i="5"/>
  <c r="AA28" i="5"/>
  <c r="U29" i="5"/>
  <c r="V29" i="5"/>
  <c r="W29" i="5"/>
  <c r="X29" i="5"/>
  <c r="Y29" i="5"/>
  <c r="Z29" i="5"/>
  <c r="AA29" i="5"/>
  <c r="U30" i="5"/>
  <c r="V30" i="5"/>
  <c r="W30" i="5"/>
  <c r="X30" i="5"/>
  <c r="Y30" i="5"/>
  <c r="Z30" i="5"/>
  <c r="AA30" i="5"/>
  <c r="U31" i="5"/>
  <c r="U32" i="5"/>
  <c r="V32" i="5"/>
  <c r="W32" i="5"/>
  <c r="X32" i="5"/>
  <c r="Y32" i="5"/>
  <c r="Z32" i="5"/>
  <c r="AA32" i="5"/>
  <c r="U33" i="5"/>
  <c r="V33" i="5"/>
  <c r="W33" i="5"/>
  <c r="X33" i="5"/>
  <c r="Y33" i="5"/>
  <c r="Z33" i="5"/>
  <c r="AA33" i="5"/>
  <c r="U34" i="5"/>
  <c r="V34" i="5"/>
  <c r="W34" i="5"/>
  <c r="X34" i="5"/>
  <c r="Y34" i="5"/>
  <c r="Z34" i="5"/>
  <c r="AA34" i="5"/>
  <c r="U35" i="5"/>
  <c r="V35" i="5"/>
  <c r="W35" i="5"/>
  <c r="X35" i="5"/>
  <c r="Y35" i="5"/>
  <c r="Z35" i="5"/>
  <c r="AA35" i="5"/>
  <c r="U36" i="5"/>
  <c r="V36" i="5"/>
  <c r="W36" i="5"/>
  <c r="X36" i="5"/>
  <c r="Y36" i="5"/>
  <c r="Z36" i="5"/>
  <c r="AA36" i="5"/>
  <c r="U37" i="5"/>
  <c r="V37" i="5"/>
  <c r="W37" i="5"/>
  <c r="X37" i="5"/>
  <c r="Y37" i="5"/>
  <c r="Z37" i="5"/>
  <c r="AA37" i="5"/>
  <c r="U38" i="5"/>
  <c r="U39" i="5"/>
  <c r="V39" i="5"/>
  <c r="W39" i="5"/>
  <c r="X39" i="5"/>
  <c r="Y39" i="5"/>
  <c r="Z39" i="5"/>
  <c r="AA39" i="5"/>
  <c r="U40" i="5"/>
  <c r="V40" i="5"/>
  <c r="W40" i="5"/>
  <c r="X40" i="5"/>
  <c r="Y40" i="5"/>
  <c r="Z40" i="5"/>
  <c r="AA40" i="5"/>
  <c r="U41" i="5"/>
  <c r="V41" i="5"/>
  <c r="W41" i="5"/>
  <c r="X41" i="5"/>
  <c r="Y41" i="5"/>
  <c r="Z41" i="5"/>
  <c r="AA41" i="5"/>
  <c r="U42" i="5"/>
  <c r="V42" i="5"/>
  <c r="W42" i="5"/>
  <c r="X42" i="5"/>
  <c r="Y42" i="5"/>
  <c r="Z42" i="5"/>
  <c r="AA42" i="5"/>
  <c r="U43" i="5"/>
  <c r="V43" i="5"/>
  <c r="W43" i="5"/>
  <c r="X43" i="5"/>
  <c r="Y43" i="5"/>
  <c r="Z43" i="5"/>
  <c r="AA43" i="5"/>
  <c r="I44" i="6"/>
  <c r="J48" i="6" s="1"/>
  <c r="F47" i="6" a="1"/>
  <c r="F47"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s="1"/>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s="1"/>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s="1"/>
  <c r="K95" i="2" a="1"/>
  <c r="K95" i="2"/>
  <c r="K96" i="2" a="1"/>
  <c r="K96" i="2" s="1"/>
  <c r="K97" i="2" a="1"/>
  <c r="K97" i="2" s="1"/>
  <c r="K98" i="2" a="1"/>
  <c r="K98" i="2" s="1"/>
  <c r="K99" i="2" a="1"/>
  <c r="K99" i="2" s="1"/>
  <c r="K100" i="2" a="1"/>
  <c r="K100" i="2"/>
  <c r="K101" i="2" a="1"/>
  <c r="K101" i="2" s="1"/>
  <c r="K102" i="2" a="1"/>
  <c r="K102" i="2" s="1"/>
  <c r="K103" i="2" a="1"/>
  <c r="K103" i="2" s="1"/>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s="1"/>
  <c r="K493" i="2" a="1"/>
  <c r="K493" i="2" s="1"/>
  <c r="K494" i="2" a="1"/>
  <c r="K494" i="2" s="1"/>
  <c r="K495" i="2" a="1"/>
  <c r="K495" i="2" s="1"/>
  <c r="K496" i="2" a="1"/>
  <c r="K496" i="2"/>
  <c r="K497" i="2" a="1"/>
  <c r="K497" i="2" s="1"/>
  <c r="K498" i="2" a="1"/>
  <c r="K498" i="2" s="1"/>
  <c r="K499" i="2" a="1"/>
  <c r="K499" i="2" s="1"/>
  <c r="K500" i="2" a="1"/>
  <c r="K500" i="2" s="1"/>
  <c r="K501" i="2" a="1"/>
  <c r="K501" i="2"/>
  <c r="K502" i="2" a="1"/>
  <c r="K502" i="2" s="1"/>
  <c r="K503" i="2" a="1"/>
  <c r="K503" i="2" s="1"/>
  <c r="K504" i="2" a="1"/>
  <c r="K504" i="2" s="1"/>
  <c r="K505" i="2" a="1"/>
  <c r="K505" i="2" s="1"/>
  <c r="K506" i="2" a="1"/>
  <c r="K506" i="2" s="1"/>
  <c r="K507" i="2" a="1"/>
  <c r="K507" i="2" s="1"/>
  <c r="K508" i="2" a="1"/>
  <c r="K508" i="2"/>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s="1"/>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s="1"/>
  <c r="K599" i="2" a="1"/>
  <c r="K599" i="2" s="1"/>
  <c r="K600" i="2" a="1"/>
  <c r="K600" i="2" s="1"/>
  <c r="K601" i="2" a="1"/>
  <c r="K601" i="2" s="1"/>
  <c r="K602" i="2" a="1"/>
  <c r="K602" i="2" s="1"/>
  <c r="K603" i="2" a="1"/>
  <c r="K603" i="2" s="1"/>
  <c r="K604" i="2" a="1"/>
  <c r="K604" i="2"/>
  <c r="K605" i="2" a="1"/>
  <c r="K605" i="2" s="1"/>
  <c r="K606" i="2" a="1"/>
  <c r="K606" i="2" s="1"/>
  <c r="K607" i="2" a="1"/>
  <c r="K607" i="2" s="1"/>
  <c r="K608" i="2" a="1"/>
  <c r="K608" i="2" s="1"/>
  <c r="K609" i="2" a="1"/>
  <c r="K609" i="2"/>
  <c r="K610" i="2" a="1"/>
  <c r="K610" i="2" s="1"/>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s="1"/>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s="1"/>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s="1"/>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7" i="6" l="1"/>
  <c r="I51" i="6"/>
  <c r="I50" i="6"/>
  <c r="I49" i="6"/>
  <c r="I48" i="6"/>
  <c r="J47" i="6"/>
  <c r="J51" i="6"/>
  <c r="J50" i="6"/>
  <c r="J4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72531F-7599-4B6D-A152-B0E9D3C62F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F1F9612-C527-4280-9138-50E2DD3671A9}"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xr16:uid="{6F8893B2-0F08-413C-8B9E-7918FA51F3EF}"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<sst xmlns="http://schemas.openxmlformats.org/spreadsheetml/2006/main" count="3164" uniqueCount="1083">
  <si>
    <t>Calls Count</t>
  </si>
  <si>
    <t>Total Amount</t>
  </si>
  <si>
    <t>Total Duration</t>
  </si>
  <si>
    <t>Average Rating</t>
  </si>
  <si>
    <t>5* Calls</t>
  </si>
  <si>
    <t>Row Labels</t>
  </si>
  <si>
    <t>Calls Count2</t>
  </si>
  <si>
    <t>Jan</t>
  </si>
  <si>
    <t>Feb</t>
  </si>
  <si>
    <t>Sunday</t>
  </si>
  <si>
    <t>Mar</t>
  </si>
  <si>
    <t>Monday</t>
  </si>
  <si>
    <t>Apr</t>
  </si>
  <si>
    <t>Tuesday</t>
  </si>
  <si>
    <t>May</t>
  </si>
  <si>
    <t>Wednesday</t>
  </si>
  <si>
    <t>Jun</t>
  </si>
  <si>
    <t>Thursday</t>
  </si>
  <si>
    <t>Jul</t>
  </si>
  <si>
    <t>Friday</t>
  </si>
  <si>
    <t>Aug</t>
  </si>
  <si>
    <t>Saturday</t>
  </si>
  <si>
    <t>Sep</t>
  </si>
  <si>
    <t>Grand Total</t>
  </si>
  <si>
    <t>Oct</t>
  </si>
  <si>
    <t>Nov</t>
  </si>
  <si>
    <t>Dec</t>
  </si>
  <si>
    <t>selected rep</t>
  </si>
  <si>
    <t>FOR GRAPH</t>
  </si>
  <si>
    <t>rep.</t>
  </si>
  <si>
    <t>calls</t>
  </si>
  <si>
    <t>amount</t>
  </si>
  <si>
    <t>sel. Calls</t>
  </si>
  <si>
    <t>sel.amt</t>
  </si>
  <si>
    <t>R01</t>
  </si>
  <si>
    <t>R02</t>
  </si>
  <si>
    <t>R03</t>
  </si>
  <si>
    <t>R04</t>
  </si>
  <si>
    <t>R05</t>
  </si>
  <si>
    <t>Column Labels</t>
  </si>
  <si>
    <t>Female</t>
  </si>
  <si>
    <t>Male</t>
  </si>
  <si>
    <t>Cincinnati</t>
  </si>
  <si>
    <t>Cleveland</t>
  </si>
  <si>
    <t>Columbus</t>
  </si>
  <si>
    <t>C0003</t>
  </si>
  <si>
    <t>C0004</t>
  </si>
  <si>
    <t>C0011</t>
  </si>
  <si>
    <t>C0012</t>
  </si>
  <si>
    <t>C0002</t>
  </si>
  <si>
    <t>C0007</t>
  </si>
  <si>
    <t>C0008</t>
  </si>
  <si>
    <t>C0010</t>
  </si>
  <si>
    <t>C0013</t>
  </si>
  <si>
    <t>C0015</t>
  </si>
  <si>
    <t>C0001</t>
  </si>
  <si>
    <t>C0005</t>
  </si>
  <si>
    <t>C0006</t>
  </si>
  <si>
    <t>C0009</t>
  </si>
  <si>
    <t>C0014</t>
  </si>
  <si>
    <t>Call Centre Data</t>
  </si>
  <si>
    <t>Call number</t>
  </si>
  <si>
    <t>Customer ID</t>
  </si>
  <si>
    <t>Duration</t>
  </si>
  <si>
    <t>Representative</t>
  </si>
  <si>
    <t>Date of Call</t>
  </si>
  <si>
    <t>Purchase Amount</t>
  </si>
  <si>
    <t>Satisfaction Rating</t>
  </si>
  <si>
    <t>FY</t>
  </si>
  <si>
    <t>Day of week</t>
  </si>
  <si>
    <t>Duration Bucket</t>
  </si>
  <si>
    <t>Rating rounded</t>
  </si>
  <si>
    <t>Gedner</t>
  </si>
  <si>
    <t>Age</t>
  </si>
  <si>
    <t>City</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</si>
  <si>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</si>
  <si>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</si>
  <si>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</si>
  <si>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</si>
  <si>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</si>
  <si>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</si>
  <si>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</si>
  <si>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</si>
  <si>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</si>
  <si>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</si>
  <si>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</si>
  <si>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</si>
  <si>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</si>
  <si>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</si>
  <si>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</si>
  <si>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</si>
  <si>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</si>
  <si>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</si>
  <si>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</si>
  <si>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</si>
  <si>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</si>
  <si>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</si>
  <si>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</si>
  <si>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</si>
  <si>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</si>
  <si>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</si>
  <si>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</si>
  <si>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</si>
  <si>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</si>
  <si>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</si>
  <si>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</si>
  <si>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</si>
  <si>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</si>
  <si>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</si>
  <si>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</si>
  <si>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</si>
  <si>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</si>
  <si>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</si>
  <si>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</si>
  <si>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</si>
  <si>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</si>
  <si>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</si>
  <si>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</si>
  <si>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</si>
  <si>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</si>
  <si>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</si>
  <si>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</si>
  <si>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</si>
  <si>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</si>
  <si>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</si>
  <si>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</si>
  <si>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</si>
  <si>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</si>
  <si>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</si>
  <si>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</si>
  <si>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</si>
  <si>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</si>
  <si>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</si>
  <si>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</si>
  <si>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</si>
  <si>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</si>
  <si>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</si>
  <si>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</si>
  <si>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</si>
  <si>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</si>
  <si>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</si>
  <si>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</si>
  <si>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</si>
  <si>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</si>
  <si>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</si>
  <si>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</si>
  <si>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</si>
  <si>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</si>
  <si>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</si>
  <si>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</si>
  <si>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</si>
  <si>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</si>
  <si>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</si>
  <si>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</si>
  <si>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</si>
  <si>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</si>
  <si>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</si>
  <si>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</si>
  <si>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</si>
  <si>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</si>
  <si>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</si>
  <si>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</si>
  <si>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</si>
  <si>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</si>
  <si>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</si>
  <si>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</si>
  <si>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</si>
  <si>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</si>
  <si>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</si>
  <si>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</si>
  <si>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</si>
  <si>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</si>
  <si>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</si>
  <si>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</si>
  <si>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</si>
  <si>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</si>
  <si>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</si>
  <si>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</si>
  <si>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</si>
  <si>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</si>
  <si>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</si>
  <si>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</si>
  <si>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</si>
  <si>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</si>
  <si>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</si>
  <si>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</si>
  <si>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</si>
  <si>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</si>
  <si>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</si>
  <si>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</si>
  <si>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</si>
  <si>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</si>
  <si>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</si>
  <si>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</si>
  <si>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</si>
  <si>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</si>
  <si>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</si>
  <si>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</si>
  <si>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</si>
  <si>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</si>
  <si>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</si>
  <si>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</si>
  <si>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</si>
  <si>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</si>
  <si>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</si>
  <si>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</si>
  <si>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</si>
  <si>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</si>
  <si>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</si>
  <si>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</si>
  <si>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</si>
  <si>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</si>
  <si>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</si>
  <si>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</si>
  <si>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</si>
  <si>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</si>
  <si>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</si>
  <si>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</si>
  <si>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</si>
  <si>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</si>
  <si>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</si>
  <si>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</si>
  <si>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</si>
  <si>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</si>
  <si>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</si>
  <si>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</si>
  <si>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</si>
  <si>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</si>
  <si>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</si>
  <si>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</si>
  <si>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</si>
  <si>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</si>
  <si>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</si>
  <si>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</si>
  <si>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</si>
  <si>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</si>
  <si>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</si>
  <si>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</si>
  <si>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</si>
  <si>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</si>
  <si>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</si>
  <si>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</si>
  <si>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</si>
  <si>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</si>
  <si>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</si>
  <si>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</si>
  <si>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</si>
  <si>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</si>
  <si>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</si>
  <si>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</si>
  <si>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</si>
  <si>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</si>
  <si>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</si>
  <si>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</si>
  <si>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</si>
  <si>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</si>
  <si>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</si>
  <si>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</si>
  <si>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</si>
  <si>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</si>
  <si>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</si>
  <si>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</si>
  <si>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</si>
  <si>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</si>
  <si>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</si>
  <si>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</si>
  <si>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</si>
  <si>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</si>
  <si>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</si>
  <si>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</si>
  <si>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</si>
  <si>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</si>
  <si>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</si>
  <si>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</si>
  <si>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</si>
  <si>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</si>
  <si>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</si>
  <si>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</si>
  <si>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</si>
  <si>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</si>
  <si>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</si>
  <si>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</si>
  <si>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</si>
  <si>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</si>
  <si>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</si>
  <si>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</si>
  <si>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</si>
  <si>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</si>
  <si>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</si>
  <si>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</si>
  <si>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</si>
  <si>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</si>
  <si>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</si>
  <si>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</si>
  <si>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</si>
  <si>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</si>
  <si>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</si>
  <si>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</si>
  <si>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</si>
  <si>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</si>
  <si>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</si>
  <si>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</si>
  <si>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</si>
  <si>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</si>
  <si>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</si>
  <si>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</si>
  <si>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</si>
  <si>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</si>
  <si>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</si>
  <si>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</si>
  <si>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</si>
  <si>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</si>
  <si>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</si>
  <si>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</si>
  <si>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</si>
  <si>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</si>
  <si>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</si>
  <si>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</si>
  <si>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</si>
  <si>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</si>
  <si>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</si>
  <si>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</si>
  <si>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</si>
  <si>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</si>
  <si>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</si>
  <si>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</si>
  <si>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</si>
  <si>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</si>
  <si>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</si>
  <si>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</si>
  <si>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</si>
  <si>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</si>
  <si>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</si>
  <si>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</si>
  <si>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</si>
  <si>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</si>
  <si>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</si>
  <si>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</si>
  <si>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</si>
  <si>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</si>
  <si>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</si>
  <si>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</si>
  <si>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</si>
  <si>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</si>
  <si>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</si>
  <si>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</si>
  <si>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</si>
  <si>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</si>
  <si>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</si>
  <si>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</si>
  <si>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</si>
  <si>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</si>
  <si>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</si>
  <si>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</si>
  <si>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</si>
  <si>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</si>
  <si>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</si>
  <si>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</si>
  <si>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</si>
  <si>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</si>
  <si>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</si>
  <si>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</si>
  <si>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</si>
  <si>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</si>
  <si>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</si>
  <si>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</si>
  <si>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</si>
  <si>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</si>
  <si>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</si>
  <si>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</si>
  <si>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</si>
  <si>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</si>
  <si>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</si>
  <si>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</si>
  <si>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</si>
  <si>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</si>
  <si>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</si>
  <si>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</si>
  <si>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</si>
  <si>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</si>
  <si>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</si>
  <si>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</si>
  <si>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</si>
  <si>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</si>
  <si>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</si>
  <si>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</si>
  <si>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</si>
  <si>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</si>
  <si>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</si>
  <si>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</si>
  <si>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</si>
  <si>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</si>
  <si>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</si>
  <si>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</si>
  <si>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</si>
  <si>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</si>
  <si>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</si>
  <si>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</si>
  <si>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</si>
  <si>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</si>
  <si>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</si>
  <si>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</si>
  <si>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</si>
  <si>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</si>
  <si>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</si>
  <si>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</si>
  <si>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</si>
  <si>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</si>
  <si>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</si>
  <si>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</si>
  <si>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</si>
  <si>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</si>
  <si>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</si>
  <si>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</si>
  <si>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</si>
  <si>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</si>
  <si>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</si>
  <si>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</si>
  <si>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</si>
  <si>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</si>
  <si>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</si>
  <si>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</si>
  <si>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</si>
  <si>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</si>
  <si>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</si>
  <si>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</si>
  <si>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</si>
  <si>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</si>
  <si>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</si>
  <si>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</si>
  <si>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</si>
  <si>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</si>
  <si>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</si>
  <si>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</si>
  <si>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</si>
  <si>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</si>
  <si>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</si>
  <si>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</si>
  <si>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</si>
  <si>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</si>
  <si>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</si>
  <si>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</si>
  <si>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</si>
  <si>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</si>
  <si>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</si>
  <si>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</si>
  <si>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</si>
  <si>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</si>
  <si>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</si>
  <si>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</si>
  <si>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</si>
  <si>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</si>
  <si>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</si>
  <si>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</si>
  <si>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</si>
  <si>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</si>
  <si>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</si>
  <si>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</si>
  <si>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</si>
  <si>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</si>
  <si>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</si>
  <si>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</si>
  <si>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</si>
  <si>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</si>
  <si>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</si>
  <si>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</si>
  <si>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</si>
  <si>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</si>
  <si>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</si>
  <si>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</si>
  <si>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</si>
  <si>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</si>
  <si>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</si>
  <si>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</si>
  <si>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</si>
  <si>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</si>
  <si>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</si>
  <si>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</si>
  <si>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</si>
  <si>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</si>
  <si>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</si>
  <si>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</si>
  <si>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</si>
  <si>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</si>
  <si>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</si>
  <si>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</si>
  <si>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</si>
  <si>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</si>
  <si>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</si>
  <si>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</si>
  <si>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</si>
  <si>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</si>
  <si>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</si>
  <si>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</si>
  <si>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</si>
  <si>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</si>
  <si>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</si>
  <si>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</si>
  <si>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</si>
  <si>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</si>
  <si>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</si>
  <si>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</si>
  <si>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</si>
  <si>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</si>
  <si>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</si>
  <si>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</si>
  <si>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</si>
  <si>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</si>
  <si>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</si>
  <si>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</si>
  <si>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</si>
  <si>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</si>
  <si>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</si>
  <si>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</si>
  <si>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</si>
  <si>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</si>
  <si>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</si>
  <si>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</si>
  <si>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</si>
  <si>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</si>
  <si>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</si>
  <si>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</si>
  <si>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</si>
  <si>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</si>
  <si>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</si>
  <si>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</si>
  <si>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</si>
  <si>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</si>
  <si>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</si>
  <si>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</si>
  <si>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</si>
  <si>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</si>
  <si>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</si>
  <si>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</si>
  <si>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</si>
  <si>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</si>
  <si>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</si>
  <si>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</si>
  <si>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</si>
  <si>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</si>
  <si>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</si>
  <si>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</si>
  <si>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</si>
  <si>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</si>
  <si>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</si>
  <si>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</si>
  <si>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</si>
  <si>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</si>
  <si>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</si>
  <si>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</si>
  <si>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</si>
  <si>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</si>
  <si>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</si>
  <si>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</si>
  <si>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</si>
  <si>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</si>
  <si>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</si>
  <si>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</si>
  <si>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</si>
  <si>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</si>
  <si>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</si>
  <si>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</si>
  <si>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</si>
  <si>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</si>
  <si>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</si>
  <si>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</si>
  <si>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</si>
  <si>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</si>
  <si>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</si>
  <si>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</si>
  <si>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</si>
  <si>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</si>
  <si>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</si>
  <si>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</si>
  <si>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</si>
  <si>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</si>
  <si>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</si>
  <si>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</si>
  <si>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</si>
  <si>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</si>
  <si>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</si>
  <si>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</si>
  <si>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</si>
  <si>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</si>
  <si>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</si>
  <si>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</si>
  <si>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</si>
  <si>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</si>
  <si>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</si>
  <si>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</si>
  <si>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</si>
  <si>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</si>
  <si>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</si>
  <si>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</si>
  <si>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</si>
  <si>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</si>
  <si>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</si>
  <si>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</si>
  <si>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</si>
  <si>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</si>
  <si>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</si>
  <si>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</si>
  <si>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</si>
  <si>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</si>
  <si>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</si>
  <si>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</si>
  <si>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</si>
  <si>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</si>
  <si>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</si>
  <si>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</si>
  <si>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</si>
  <si>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</si>
  <si>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</si>
  <si>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</si>
  <si>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</si>
  <si>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</si>
  <si>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</si>
  <si>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</si>
  <si>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</si>
  <si>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</si>
  <si>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</si>
  <si>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</si>
  <si>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</si>
  <si>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</si>
  <si>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</si>
  <si>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</si>
  <si>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</si>
  <si>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</si>
  <si>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</si>
  <si>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</si>
  <si>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</si>
  <si>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</si>
  <si>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</si>
  <si>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</si>
  <si>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</si>
  <si>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</si>
  <si>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</si>
  <si>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</si>
  <si>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</si>
  <si>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</si>
  <si>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</si>
  <si>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</si>
  <si>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</si>
  <si>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</si>
  <si>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</si>
  <si>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</si>
  <si>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</si>
  <si>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</si>
  <si>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</si>
  <si>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</si>
  <si>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</si>
  <si>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</si>
  <si>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</si>
  <si>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</si>
  <si>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</si>
  <si>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</si>
  <si>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</si>
  <si>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</si>
  <si>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</si>
  <si>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</si>
  <si>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</si>
  <si>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</si>
  <si>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</si>
  <si>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</si>
  <si>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</si>
  <si>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</si>
  <si>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</si>
  <si>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</si>
  <si>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</si>
  <si>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</si>
  <si>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</si>
  <si>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</si>
  <si>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</si>
  <si>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</si>
  <si>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</si>
  <si>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</si>
  <si>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</si>
  <si>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</si>
  <si>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</si>
  <si>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</si>
  <si>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</si>
  <si>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</si>
  <si>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</si>
  <si>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</si>
  <si>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</si>
  <si>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</si>
  <si>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</si>
  <si>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</si>
  <si>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</si>
  <si>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</si>
  <si>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</si>
  <si>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</si>
  <si>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</si>
  <si>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</si>
  <si>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</si>
  <si>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</si>
  <si>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</si>
  <si>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</si>
  <si>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</si>
  <si>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</si>
  <si>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</si>
  <si>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</si>
  <si>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</si>
  <si>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</si>
  <si>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</si>
  <si>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</si>
  <si>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</si>
  <si>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</si>
  <si>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</si>
  <si>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</si>
  <si>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</si>
  <si>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</si>
  <si>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</si>
  <si>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</si>
  <si>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</si>
  <si>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</si>
  <si>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</si>
  <si>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</si>
  <si>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</si>
  <si>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</si>
  <si>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</si>
  <si>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</si>
  <si>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</si>
  <si>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</si>
  <si>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</si>
  <si>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</si>
  <si>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</si>
  <si>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</si>
  <si>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</si>
  <si>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</si>
  <si>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</si>
  <si>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</si>
  <si>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</si>
  <si>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</si>
  <si>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</si>
  <si>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</si>
  <si>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</si>
  <si>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</si>
  <si>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</si>
  <si>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</si>
  <si>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</si>
  <si>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</si>
  <si>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</si>
  <si>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</si>
  <si>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</si>
  <si>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</si>
  <si>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</si>
  <si>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</si>
  <si>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</si>
  <si>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</si>
  <si>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</si>
  <si>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</si>
  <si>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</si>
  <si>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</si>
  <si>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</si>
  <si>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</si>
  <si>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</si>
  <si>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</si>
  <si>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</si>
  <si>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</si>
  <si>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</si>
  <si>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</si>
  <si>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</si>
  <si>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</si>
  <si>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</si>
  <si>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</si>
  <si>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</si>
  <si>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</si>
  <si>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</si>
  <si>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</si>
  <si>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</si>
  <si>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</si>
  <si>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</si>
  <si>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</si>
  <si>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</si>
  <si>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</si>
  <si>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</si>
  <si>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</si>
  <si>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</si>
  <si>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</si>
  <si>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</si>
  <si>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</si>
  <si>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</si>
  <si>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</si>
  <si>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</si>
  <si>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</si>
  <si>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</si>
  <si>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</si>
  <si>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</si>
  <si>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</si>
  <si>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</si>
  <si>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</si>
  <si>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</si>
  <si>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</si>
  <si>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</si>
  <si>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</si>
  <si>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</si>
  <si>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</si>
  <si>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</si>
  <si>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</si>
  <si>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</si>
  <si>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</si>
  <si>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</si>
  <si>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</si>
  <si>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</si>
  <si>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</si>
  <si>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</si>
  <si>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</si>
  <si>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</si>
  <si>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</si>
  <si>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</si>
  <si>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</si>
  <si>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</si>
  <si>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</si>
  <si>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</si>
  <si>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</si>
  <si>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</si>
  <si>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</si>
  <si>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</si>
  <si>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</si>
  <si>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</si>
  <si>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</si>
  <si>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</si>
  <si>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</si>
  <si>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</si>
  <si>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</si>
  <si>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</si>
  <si>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</si>
  <si>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</si>
  <si>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</si>
  <si>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</si>
  <si>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</si>
  <si>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</si>
  <si>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</si>
  <si>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</si>
  <si>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</si>
  <si>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</si>
  <si>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</si>
  <si>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</si>
  <si>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</si>
  <si>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</si>
  <si>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</si>
  <si>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</si>
  <si>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</si>
  <si>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</si>
  <si>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</si>
  <si>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</si>
  <si>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</si>
  <si>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</si>
  <si>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</si>
  <si>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</si>
  <si>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</si>
  <si>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</si>
  <si>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</si>
  <si>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</si>
  <si>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</si>
  <si>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</si>
  <si>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</si>
  <si>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</si>
  <si>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</si>
  <si>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</si>
  <si>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</si>
  <si>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</si>
  <si>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</si>
  <si>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</si>
  <si>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</si>
  <si>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</si>
  <si>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</si>
  <si>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</si>
  <si>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</si>
  <si>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</si>
  <si>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</si>
  <si>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</si>
  <si>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</si>
  <si>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</si>
  <si>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</si>
  <si>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</si>
  <si>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</si>
  <si>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</si>
  <si>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</si>
  <si>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</si>
  <si>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</si>
  <si>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</si>
  <si>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</si>
  <si>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</si>
  <si>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</si>
  <si>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</si>
  <si>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</si>
  <si>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</si>
  <si>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</si>
  <si>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</si>
  <si>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</si>
  <si>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</si>
  <si>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</si>
  <si>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</si>
  <si>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</si>
  <si>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</si>
  <si>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</si>
  <si>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</si>
  <si>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</si>
  <si>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</si>
  <si>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</si>
  <si>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</si>
  <si>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</si>
  <si>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</si>
  <si>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</si>
  <si>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</si>
  <si>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</si>
  <si>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</si>
  <si>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</si>
  <si>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</si>
  <si>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</si>
  <si>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</si>
  <si>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</si>
  <si>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</si>
  <si>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</si>
  <si>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</si>
  <si>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</si>
  <si>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</si>
  <si>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</si>
  <si>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</si>
  <si>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</si>
  <si>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</si>
  <si>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</si>
  <si>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</si>
  <si>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</si>
  <si>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</si>
  <si>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</si>
  <si>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</si>
  <si>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</si>
  <si>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</si>
  <si>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</si>
  <si>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</si>
  <si>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</si>
  <si>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</si>
  <si>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</si>
  <si>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</si>
  <si>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</si>
  <si>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</si>
  <si>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</si>
  <si>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</si>
  <si>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</si>
  <si>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</si>
  <si>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</si>
  <si>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</si>
  <si>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</si>
  <si>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</si>
  <si>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</si>
  <si>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</si>
  <si>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</si>
  <si>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</si>
  <si>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</si>
  <si>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</si>
  <si>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</si>
  <si>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</si>
  <si>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</si>
  <si>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</si>
  <si>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</si>
  <si>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</si>
  <si>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</si>
  <si>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</si>
  <si>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</si>
  <si>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</si>
  <si>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</si>
  <si>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</si>
  <si>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</si>
  <si>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</si>
  <si>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</si>
  <si>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</si>
  <si>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</si>
  <si>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</si>
  <si>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</si>
  <si>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</si>
  <si>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</si>
  <si>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</si>
  <si>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</si>
  <si>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</si>
  <si>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</si>
  <si>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</si>
  <si>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</si>
  <si>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</si>
  <si>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</si>
  <si>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</si>
  <si>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</si>
  <si>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</si>
  <si>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</si>
  <si>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</si>
  <si>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</si>
  <si>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</si>
  <si>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</si>
  <si>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</si>
  <si>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</si>
  <si>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</si>
  <si>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</si>
  <si>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</si>
  <si>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</si>
  <si>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</si>
  <si>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</si>
  <si>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</si>
  <si>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</si>
  <si>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</si>
  <si>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</si>
  <si>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</si>
  <si>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</si>
  <si>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</si>
  <si>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</si>
  <si>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</si>
  <si>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</si>
  <si>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</si>
  <si>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</si>
  <si>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</si>
  <si>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</si>
  <si>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</si>
  <si>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</si>
  <si>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</si>
  <si>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</si>
  <si>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</si>
  <si>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</si>
  <si>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</si>
  <si>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</si>
  <si>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</si>
  <si>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</si>
  <si>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</si>
  <si>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</si>
  <si>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</si>
  <si>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</si>
  <si>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</si>
  <si>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</si>
  <si>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</si>
  <si>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</si>
  <si>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</si>
  <si>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</si>
  <si>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</si>
  <si>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</si>
  <si>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</si>
  <si>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</si>
  <si>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</si>
  <si>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</si>
  <si>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</si>
  <si>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</si>
  <si>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</si>
  <si>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</si>
  <si>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</si>
  <si>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</si>
  <si>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</si>
  <si>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</si>
  <si>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</si>
  <si>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</si>
  <si>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</si>
  <si>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</si>
  <si>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</si>
  <si>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</si>
  <si>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</si>
  <si>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</si>
  <si>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</si>
  <si>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</si>
  <si>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</si>
  <si>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</si>
  <si>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</si>
  <si>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</si>
  <si>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</si>
  <si>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</si>
  <si>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</si>
  <si>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</si>
  <si>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</si>
  <si>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</si>
  <si>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</si>
  <si>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</si>
  <si>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</si>
  <si>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</si>
  <si>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</si>
  <si>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</si>
  <si>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</si>
  <si>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</si>
  <si>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</si>
  <si>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CALL CENTRE REPORT 2025</t>
  </si>
  <si>
    <t xml:space="preserve">    </t>
  </si>
  <si>
    <t>R1</t>
  </si>
  <si>
    <t>R2</t>
  </si>
  <si>
    <t>R3</t>
  </si>
  <si>
    <t>R4</t>
  </si>
  <si>
    <t>R5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</si>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</sst>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00"/>
  </numFmts>
  <fonts count="8">
    <font>
      <sz val="11"/>
      <color theme="1"/>
      <name val="Calibri"/>
      <family val="2"/>
      <scheme val="minor"/>
    </font>
    <font>
      <b/>
      <sz val="11"/>
      <color theme="1"/>
      <name val="Calibri"/>
      <family val="2"/>
      <scheme val="minor"/>
    </font>
    <font>
      <sz val="8"/>
      <name val="Calibri"/>
      <family val="2"/>
      <scheme val="minor"/>
    </font>
    <font>
      <sz val="18"/>
      <color theme="1"/>
      <name val="Aptos ExtraBold"/>
      <family val="2"/>
    </font>
    <font>
      <b/>
      <sz val="24"/>
      <color theme="8" tint="-0.249977111117893"/>
      <name val="Calibri"/>
      <family val="2"/>
      <scheme val="minor"/>
    </font>
    <font>
      <sz val="11"/>
      <color theme="1"/>
      <name val="Calibri"/>
      <family val="2"/>
      <scheme val="minor"/>
    </font>
    <font>
      <sz val="14"/>
      <color theme="1"/>
      <name val="Calibri"/>
      <family val="2"/>
      <scheme val="minor"/>
    </font>
    <font>
      <sz val="14"/>
      <color theme="1"/>
      <name val="Franklin Gothic Demi"/>
      <family val="2"/>
    </font>
  </fonts>
  <fills count="6">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2" tint="0.79998168889431442"/>
        <bgColor indexed="64"/>
      </patternFill>
    </fill>
    <fill>
      <patternFill patternType="solid">
        <fgColor theme="0" tint="-4.9989318521683403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1"/>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s>
  <cellStyleXfs count="2">
    <xf numFmtId="0" fontId="0" fillId="0" borderId="0"/>
    <xf numFmtId="9" fontId="5" fillId="0" borderId="0" applyFont="0" applyFill="0" applyBorder="0" applyAlignment="0" applyProtection="0"/>
  </cellStyleXfs>
  <cellXfs count="5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 fontId="0" fillId="0" borderId="0" xfId="0" applyNumberFormat="1" applyAlignment="1">
      <alignment horizontal="right"/>
    </xf>
    <xf numFmtId="165" fontId="0" fillId="0" borderId="0" xfId="0" applyNumberFormat="1" applyAlignment="1">
      <alignment horizontal="right"/>
    </xf>
    <xf numFmtId="3" fontId="0" fillId="0" borderId="0" xfId="0" applyNumberFormat="1" applyAlignment="1">
      <alignment horizontal="right"/>
    </xf>
    <xf numFmtId="166" fontId="0" fillId="0" borderId="0" xfId="0" applyNumberFormat="1" applyAlignment="1">
      <alignment horizontal="right"/>
    </xf>
    <xf numFmtId="0" fontId="0" fillId="4" borderId="0" xfId="0" applyFill="1"/>
    <xf numFmtId="0" fontId="0" fillId="4" borderId="0" xfId="0" applyFill="1" applyAlignment="1">
      <alignment vertical="center"/>
    </xf>
    <xf numFmtId="0" fontId="4" fillId="4" borderId="0" xfId="0" applyFont="1" applyFill="1" applyAlignment="1">
      <alignment vertical="center"/>
    </xf>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right" vertical="top" wrapText="1"/>
    </xf>
    <xf numFmtId="165" fontId="0" fillId="0" borderId="0" xfId="0" applyNumberFormat="1"/>
    <xf numFmtId="167" fontId="0" fillId="0" borderId="0" xfId="0" applyNumberFormat="1"/>
    <xf numFmtId="0" fontId="0" fillId="0" borderId="0" xfId="0" applyAlignment="1">
      <alignment horizontal="left" indent="1"/>
    </xf>
    <xf numFmtId="0" fontId="0" fillId="4" borderId="0" xfId="0" applyFill="1" applyAlignment="1">
      <alignment horizontal="right"/>
    </xf>
    <xf numFmtId="0" fontId="6" fillId="4" borderId="0" xfId="0" applyFont="1" applyFill="1"/>
    <xf numFmtId="0" fontId="0" fillId="5" borderId="12" xfId="0" applyFill="1" applyBorder="1"/>
    <xf numFmtId="0" fontId="7" fillId="5" borderId="14" xfId="0" applyFont="1" applyFill="1" applyBorder="1"/>
    <xf numFmtId="168" fontId="6" fillId="5" borderId="0" xfId="0" applyNumberFormat="1" applyFont="1" applyFill="1" applyAlignment="1">
      <alignment horizontal="center" vertical="center"/>
    </xf>
    <xf numFmtId="168" fontId="6" fillId="5" borderId="15" xfId="0" applyNumberFormat="1" applyFont="1" applyFill="1" applyBorder="1" applyAlignment="1">
      <alignment horizontal="center" vertical="center"/>
    </xf>
    <xf numFmtId="0" fontId="6" fillId="5" borderId="14" xfId="0" applyFont="1" applyFill="1" applyBorder="1" applyAlignment="1">
      <alignment horizontal="left" indent="1"/>
    </xf>
    <xf numFmtId="168" fontId="6" fillId="5" borderId="0" xfId="0" applyNumberFormat="1" applyFont="1" applyFill="1"/>
    <xf numFmtId="168" fontId="6" fillId="5" borderId="15" xfId="0" applyNumberFormat="1" applyFont="1" applyFill="1" applyBorder="1"/>
    <xf numFmtId="0" fontId="6" fillId="5" borderId="16" xfId="0" applyFont="1" applyFill="1" applyBorder="1" applyAlignment="1">
      <alignment horizontal="left" indent="1"/>
    </xf>
    <xf numFmtId="168" fontId="6" fillId="5" borderId="10" xfId="0" applyNumberFormat="1" applyFont="1" applyFill="1" applyBorder="1"/>
    <xf numFmtId="168" fontId="6" fillId="5" borderId="17" xfId="0" applyNumberFormat="1" applyFont="1" applyFill="1" applyBorder="1"/>
    <xf numFmtId="0" fontId="7" fillId="5" borderId="11" xfId="0" applyFont="1" applyFill="1" applyBorder="1" applyAlignment="1">
      <alignment horizontal="center"/>
    </xf>
    <xf numFmtId="0" fontId="7" fillId="5" borderId="13" xfId="0" applyFont="1" applyFill="1" applyBorder="1" applyAlignment="1">
      <alignment horizontal="center"/>
    </xf>
    <xf numFmtId="9" fontId="0" fillId="0" borderId="0" xfId="1" applyFont="1"/>
  </cellXfs>
  <cellStyles count="2">
    <cellStyle name="Normal" xfId="0" builtinId="0"/>
    <cellStyle name="Percent" xfId="1" builtinId="5"/>
  </cellStyles>
  <dxfs count="33">
    <dxf>
      <fill>
        <patternFill>
          <bgColor theme="6" tint="0.59996337778862885"/>
        </patternFill>
      </fill>
      <border>
        <left style="thin">
          <color auto="1"/>
        </left>
        <right style="thin">
          <color auto="1"/>
        </right>
        <vertical/>
        <horizontal/>
      </border>
    </dxf>
    <dxf>
      <fill>
        <patternFill>
          <bgColor theme="4" tint="0.79998168889431442"/>
        </patternFill>
      </fill>
      <border>
        <left style="thin">
          <color theme="1"/>
        </left>
        <right style="thin">
          <color theme="1"/>
        </right>
        <vertical/>
        <horizontal/>
      </border>
    </dxf>
    <dxf>
      <fill>
        <patternFill>
          <bgColor theme="4" tint="0.59996337778862885"/>
        </patternFill>
      </fill>
      <border>
        <left style="thin">
          <color auto="1"/>
        </left>
        <right style="thin">
          <color auto="1"/>
        </right>
        <vertical/>
        <horizontal/>
      </border>
    </dxf>
    <dxf>
      <fill>
        <patternFill>
          <bgColor theme="6" tint="0.59996337778862885"/>
        </patternFill>
      </fill>
      <border>
        <left style="thin">
          <color auto="1"/>
        </left>
        <right style="thin">
          <color auto="1"/>
        </right>
        <top style="thin">
          <color auto="1"/>
        </top>
        <bottom style="thin">
          <color auto="1"/>
        </bottom>
        <vertical/>
        <horizontal/>
      </border>
    </dxf>
    <dxf>
      <fill>
        <patternFill>
          <bgColor theme="6" tint="0.39994506668294322"/>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ill>
        <patternFill>
          <bgColor theme="5" tint="0.39994506668294322"/>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vertical="top"/>
    </dxf>
    <dxf>
      <alignment wrapText="1"/>
    </dxf>
    <dxf>
      <alignment horizontal="right"/>
    </dxf>
    <dxf>
      <alignment vertical="top"/>
    </dxf>
    <dxf>
      <alignment wrapText="1"/>
    </dxf>
    <dxf>
      <alignment horizontal="right"/>
    </dxf>
    <dxf>
      <alignment vertical="top"/>
    </dxf>
    <dxf>
      <alignment wrapText="1"/>
    </dxf>
    <dxf>
      <alignment horizontal="right"/>
    </dxf>
    <dxf>
      <alignment vertical="top"/>
    </dxf>
    <dxf>
      <alignment wrapText="1"/>
    </dxf>
    <dxf>
      <alignment horizontal="right"/>
    </dxf>
    <dxf>
      <border>
        <left style="thin">
          <color theme="0" tint="-0.14996795556505021"/>
        </left>
        <right style="thin">
          <color theme="0" tint="-0.14996795556505021"/>
        </right>
        <top style="thin">
          <color theme="0" tint="-0.14996795556505021"/>
        </top>
        <bottom style="thin">
          <color theme="0" tint="-0.14996795556505021"/>
        </bottom>
      </border>
    </dxf>
  </dxfs>
  <tableStyles count="4" defaultTableStyle="TableStyleMedium2" defaultPivotStyle="PivotStyleLight16">
    <tableStyle name="Slicer Style 1" pivot="0" table="0" count="1" xr9:uid="{25BABDA2-DB3D-41F6-98D0-3EE7CBB0176F}">
      <tableStyleElement type="wholeTable" dxfId="32"/>
    </tableStyle>
    <tableStyle name="Slicer Style 2" pivot="0" table="0" count="2" xr9:uid="{3E00934F-F389-4665-83F3-7129C0F1FAA6}"/>
    <tableStyle name="Slicer Style 3" pivot="0" table="0" count="2" xr9:uid="{A295BB3F-5758-4594-AB73-30A8F65E4A0C}"/>
    <tableStyle name="Slicer Style 4" pivot="0" table="0" count="3" xr9:uid="{61C86EE3-7D7F-4F86-AD09-83E9EEE9E228}"/>
  </tableStyles>
  <colors>
    <mruColors>
      <color rgb="FF04EC5C"/>
      <color rgb="FF9D37E9"/>
      <color rgb="FFFF66FF"/>
      <color rgb="FFFFCCFF"/>
      <color rgb="FFFFFFFF"/>
    </mruColors>
  </colors>
  <extLst>
    <ext xmlns:x14="http://schemas.microsoft.com/office/spreadsheetml/2009/9/main" uri="{46F421CA-312F-682f-3DD2-61675219B42D}">
      <x14:dxfs count="7">
        <dxf>
          <fill>
            <patternFill>
              <bgColor theme="6" tint="0.79998168889431442"/>
            </patternFill>
          </fill>
        </dxf>
        <dxf>
          <font>
            <b/>
            <i val="0"/>
            <sz val="10"/>
          </font>
          <fill>
            <patternFill>
              <bgColor theme="6"/>
            </patternFill>
          </fill>
        </dxf>
        <dxf>
          <fill>
            <patternFill>
              <bgColor theme="6" tint="0.79998168889431442"/>
            </patternFill>
          </fill>
        </dxf>
        <dxf>
          <fill>
            <patternFill>
              <bgColor theme="6"/>
            </patternFill>
          </fill>
          <border>
            <left style="thin">
              <color auto="1"/>
            </left>
            <right style="thin">
              <color auto="1"/>
            </right>
            <top style="thin">
              <color auto="1"/>
            </top>
            <bottom style="thin">
              <color auto="1"/>
            </bottom>
          </border>
        </dxf>
        <dxf>
          <font>
            <sz val="10"/>
            <name val="Calibri"/>
            <family val="2"/>
            <scheme val="minor"/>
          </font>
          <fill>
            <patternFill>
              <bgColor theme="6" tint="0.79998168889431442"/>
            </patternFill>
          </fill>
          <border>
            <left style="thin">
              <color auto="1"/>
            </left>
            <right style="thin">
              <color auto="1"/>
            </right>
            <top style="thin">
              <color auto="1"/>
            </top>
            <bottom style="thin">
              <color auto="1"/>
            </bottom>
          </border>
        </dxf>
        <dxf>
          <font>
            <b/>
            <i val="0"/>
            <sz val="10"/>
            <color theme="3"/>
          </font>
        </dxf>
        <dxf>
          <font>
            <strike val="0"/>
            <sz val="1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6"/>
            <x14:slicerStyleElement type="selectedItemWithData" dxfId="5"/>
          </x14:slicerStyleElements>
        </x14:slicerStyle>
        <x14:slicerStyle name="Slicer Style 3">
          <x14:slicerStyleElements>
            <x14:slicerStyleElement type="unselectedItemWithData" dxfId="4"/>
            <x14:slicerStyleElement type="selectedItemWithData" dxfId="3"/>
          </x14:slicerStyleElements>
        </x14:slicerStyle>
        <x14:slicerStyle name="Slicer Style 4">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[call_centre_data-excel-portfolio-project.xlsx]pivot!Monthly trend</c:name>
    <c:fmtId val="1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04986876640419E-2"/>
          <c:y val="0.1880638414174132"/>
          <c:w val="0.62660224743770143"/>
          <c:h val="0.57683693152813731"/>
        </c:manualLayout>
      </c:layout>
      <c:areaChart>
        <c:grouping val="standard"/>
        <c:varyColors val="0"/>
        <c:ser>
          <c:idx val="1"/>
          <c:order val="1"/>
          <c:tx>
            <c:strRef>
              <c:f>pivot!$C$26</c:f>
              <c:strCache>
                <c:ptCount val="1"/>
                <c:pt idx="0">
                  <c:v>Calls Count2</c:v>
                </c:pt>
              </c:strCache>
            </c:strRef>
          </c:tx>
          <c:spPr>
            <a:solidFill>
              <a:schemeClr val="accent1">
                <a:lumMod val="40000"/>
                <a:lumOff val="60000"/>
              </a:schemeClr>
            </a:solidFill>
            <a:ln>
              <a:solidFill>
                <a:schemeClr val="accent5">
                  <a:lumMod val="50000"/>
                </a:schemeClr>
              </a:solidFill>
            </a:ln>
            <a:effectLst/>
          </c:spPr>
          <c:cat>
            <c:strRef>
              <c:f>pivot!$A$27:$A$39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pivot!$C$27:$C$39</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1-8D0A-4365-9E10-4FDE9693AD1C}"/>
            </c:ext>
          </c:extLst>
        </c:ser>
        <c:dLbls>
          <c:showLegendKey val="0"/>
          <c:showVal val="0"/>
          <c:showCatName val="0"/>
          <c:showSerName val="0"/>
          <c:showPercent val="0"/>
          <c:showBubbleSize val="0"/>
        </c:dLbls>
        <c:axId val="160794688"/>
        <c:axId val="160797568"/>
      </c:areaChart>
      <c:lineChart>
        <c:grouping val="standard"/>
        <c:varyColors val="0"/>
        <c:ser>
          <c:idx val="0"/>
          <c:order val="0"/>
          <c:tx>
            <c:strRef>
              <c:f>pivot!$B$26</c:f>
              <c:strCache>
                <c:ptCount val="1"/>
                <c:pt idx="0">
                  <c:v>Calls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pivot!$B$27:$B$39</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8D0A-4365-9E10-4FDE9693AD1C}"/>
            </c:ext>
          </c:extLst>
        </c:ser>
        <c:dLbls>
          <c:showLegendKey val="0"/>
          <c:showVal val="0"/>
          <c:showCatName val="0"/>
          <c:showSerName val="0"/>
          <c:showPercent val="0"/>
          <c:showBubbleSize val="0"/>
        </c:dLbls>
        <c:marker val="1"/>
        <c:smooth val="0"/>
        <c:axId val="160794688"/>
        <c:axId val="160797568"/>
      </c:lineChart>
      <c:catAx>
        <c:axId val="16079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97568"/>
        <c:crosses val="autoZero"/>
        <c:auto val="1"/>
        <c:lblAlgn val="ctr"/>
        <c:lblOffset val="100"/>
        <c:noMultiLvlLbl val="0"/>
      </c:catAx>
      <c:valAx>
        <c:axId val="160797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9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[call_centre_data-excel-portfolio-project.xlsx]pivot!weekly trend</c:name>
    <c:fmtId val="37"/>
  </c:pivotSource>
  <c:chart>
    <c:title>
      <c:layout>
        <c:manualLayout>
          <c:xMode val="edge"/>
          <c:yMode val="edge"/>
          <c:x val="0.4258333333333334"/>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pivot!$J$27</c:f>
              <c:strCache>
                <c:ptCount val="1"/>
                <c:pt idx="0">
                  <c:v>Total</c:v>
                </c:pt>
              </c:strCache>
            </c:strRef>
          </c:tx>
          <c:spPr>
            <a:solidFill>
              <a:schemeClr val="accent1"/>
            </a:solidFill>
            <a:ln>
              <a:noFill/>
            </a:ln>
            <a:effectLst/>
          </c:spPr>
          <c:invertIfNegative val="0"/>
          <c:cat>
            <c:strRef>
              <c:f>pivot!$I$28:$I$35</c:f>
              <c:strCache>
                <c:ptCount val="7"/>
                <c:pt idx="0">
                  <c:v>Sunday</c:v>
                </c:pt>
                <c:pt idx="1">
                  <c:v>Monday</c:v>
                </c:pt>
                <c:pt idx="2">
                  <c:v>Tuesday</c:v>
                </c:pt>
                <c:pt idx="3">
                  <c:v>Wednesday</c:v>
                </c:pt>
                <c:pt idx="4">
                  <c:v>Thursday</c:v>
                </c:pt>
                <c:pt idx="5">
                  <c:v>Friday</c:v>
                </c:pt>
                <c:pt idx="6">
                  <c:v>Saturday</c:v>
                </c:pt>
              </c:strCache>
            </c:strRef>
          </c:cat>
          <c:val>
            <c:numRef>
              <c:f>pivot!$J$28:$J$35</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05ED-4DEF-8DD8-905811E11745}"/>
            </c:ext>
          </c:extLst>
        </c:ser>
        <c:dLbls>
          <c:showLegendKey val="0"/>
          <c:showVal val="0"/>
          <c:showCatName val="0"/>
          <c:showSerName val="0"/>
          <c:showPercent val="0"/>
          <c:showBubbleSize val="0"/>
        </c:dLbls>
        <c:gapWidth val="219"/>
        <c:overlap val="-27"/>
        <c:axId val="263577552"/>
        <c:axId val="263575152"/>
      </c:barChart>
      <c:catAx>
        <c:axId val="26357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75152"/>
        <c:crosses val="autoZero"/>
        <c:auto val="1"/>
        <c:lblAlgn val="ctr"/>
        <c:lblOffset val="100"/>
        <c:noMultiLvlLbl val="0"/>
      </c:catAx>
      <c:valAx>
        <c:axId val="263575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7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pivot!$F$47:$F$51</c:f>
              <c:strCache>
                <c:ptCount val="5"/>
                <c:pt idx="0">
                  <c:v>R01</c:v>
                </c:pt>
                <c:pt idx="1">
                  <c:v>R02</c:v>
                </c:pt>
                <c:pt idx="2">
                  <c:v>R03</c:v>
                </c:pt>
                <c:pt idx="3">
                  <c:v>R04</c:v>
                </c:pt>
                <c:pt idx="4">
                  <c:v>R05</c:v>
                </c:pt>
              </c:strCache>
            </c:strRef>
          </c:cat>
          <c:val>
            <c:numRef>
              <c:f>pivot!$G$47:$G$51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976-4EBE-B6A2-7F42A4A922D2}"/>
            </c:ext>
          </c:extLst>
        </c:ser>
        <c:ser>
          <c:idx val="1"/>
          <c:order val="1"/>
          <c:tx>
            <c:strRef>
              <c:f>pivot!$I$46</c:f>
              <c:strCache>
                <c:ptCount val="1"/>
                <c:pt idx="0">
                  <c:v>sel. Calls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pivot!$I$47:$I$51</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A976-4EBE-B6A2-7F42A4A922D2}"/>
            </c:ext>
          </c:extLst>
        </c:ser>
        <c:dLbls>
          <c:dLblPos val="inEnd"/>
          <c:showLegendKey val="0"/>
          <c:showVal val="1"/>
          <c:showCatName val="0"/>
          <c:showSerName val="0"/>
          <c:showPercent val="0"/>
          <c:showBubbleSize val="0"/>
        </c:dLbls>
        <c:gapWidth val="65"/>
        <c:overlap val="100"/>
        <c:axId val="783371168"/>
        <c:axId val="783379808"/>
      </c:barChart>
      <c:catAx>
        <c:axId val="783371168"/>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3379808"/>
        <c:crosses val="autoZero"/>
        <c:auto val="1"/>
        <c:lblAlgn val="ctr"/>
        <c:lblOffset val="100"/>
        <c:noMultiLvlLbl val="0"/>
      </c:catAx>
      <c:valAx>
        <c:axId val="783379808"/>
        <c:scaling>
          <c:orientation val="minMax"/>
          <c:min val="0"/>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337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9190266841644794"/>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lumMod val="60000"/>
                <a:lumOff val="40000"/>
                <a:alpha val="99000"/>
              </a:schemeClr>
            </a:solidFill>
            <a:ln w="9525" cap="flat" cmpd="sng" algn="ctr">
              <a:solidFill>
                <a:schemeClr val="lt1">
                  <a:alpha val="50000"/>
                </a:schemeClr>
              </a:solidFill>
              <a:round/>
            </a:ln>
            <a:effectLst/>
          </c:spPr>
          <c:invertIfNegative val="0"/>
          <c:dLbls>
            <c:spPr>
              <a:blipFill dpi="0" rotWithShape="1">
                <a:blip xmlns:r="http://schemas.openxmlformats.org/officeDocument/2006/relationships" r:embed="rId3"/>
                <a:srcRect/>
                <a:tile tx="0" ty="0" sx="100000" sy="100000" flip="none" algn="tl"/>
              </a:blipFill>
              <a:ln>
                <a:solidFill>
                  <a:schemeClr val="accent1"/>
                </a:solidFill>
              </a:ln>
              <a:effectLst>
                <a:outerShdw blurRad="50800" dist="50800" dir="5400000" algn="ctr" rotWithShape="0">
                  <a:schemeClr val="tx2">
                    <a:lumMod val="75000"/>
                    <a:lumOff val="25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pivot!$F$47:$F$51</c:f>
              <c:strCache>
                <c:ptCount val="5"/>
                <c:pt idx="0">
                  <c:v>R01</c:v>
                </c:pt>
                <c:pt idx="1">
                  <c:v>R02</c:v>
                </c:pt>
                <c:pt idx="2">
                  <c:v>R03</c:v>
                </c:pt>
                <c:pt idx="3">
                  <c:v>R04</c:v>
                </c:pt>
                <c:pt idx="4">
                  <c:v>R05</c:v>
                </c:pt>
              </c:strCache>
            </c:strRef>
          </c:cat>
          <c:val>
            <c:numRef>
              <c:f>pivot!$H$47:$H$51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B04-49B3-BCA8-28C3910336A2}"/>
            </c:ext>
          </c:extLst>
        </c:ser>
        <c:ser>
          <c:idx val="1"/>
          <c:order val="1"/>
          <c:tx>
            <c:strRef>
              <c:f>pivot!$J$46</c:f>
              <c:strCache>
                <c:ptCount val="1"/>
                <c:pt idx="0">
                  <c:v>sel.amt</c:v>
                </c:pt>
              </c:strCache>
            </c:strRef>
          </c:tx>
          <c:spPr>
            <a:solidFill>
              <a:schemeClr val="accent2">
                <a:alpha val="85000"/>
              </a:schemeClr>
            </a:solidFill>
            <a:ln w="9525" cap="flat" cmpd="sng" algn="ctr">
              <a:solidFill>
                <a:schemeClr val="lt1">
                  <a:alpha val="50000"/>
                </a:schemeClr>
              </a:solidFill>
              <a:round/>
            </a:ln>
            <a:effectLst/>
          </c:spPr>
          <c:invertIfNegative val="0"/>
          <c:dLbls>
            <c:delete val="1"/>
          </c:dLbls>
          <c:val>
            <c:numRef>
              <c:f>pivot!$J$47:$J$51</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DB04-49B3-BCA8-28C3910336A2}"/>
            </c:ext>
          </c:extLst>
        </c:ser>
        <c:dLbls>
          <c:dLblPos val="outEnd"/>
          <c:showLegendKey val="0"/>
          <c:showVal val="1"/>
          <c:showCatName val="0"/>
          <c:showSerName val="0"/>
          <c:showPercent val="0"/>
          <c:showBubbleSize val="0"/>
        </c:dLbls>
        <c:gapWidth val="65"/>
        <c:overlap val="100"/>
        <c:axId val="783371168"/>
        <c:axId val="783379808"/>
      </c:barChart>
      <c:catAx>
        <c:axId val="783371168"/>
        <c:scaling>
          <c:orientation val="maxMin"/>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3379808"/>
        <c:crosses val="autoZero"/>
        <c:auto val="1"/>
        <c:lblAlgn val="ctr"/>
        <c:lblOffset val="100"/>
        <c:noMultiLvlLbl val="0"/>
      </c:catAx>
      <c:valAx>
        <c:axId val="783379808"/>
        <c:scaling>
          <c:orientation val="minMax"/>
        </c:scaling>
        <c:delete val="1"/>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k&quot;" sourceLinked="1"/>
        <c:majorTickMark val="out"/>
        <c:minorTickMark val="none"/>
        <c:tickLblPos val="nextTo"/>
        <c:crossAx val="78337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[call_centre_data-excel-portfolio-project.xlsx]pivot!PivotTable1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pivot!$F$67:$F$68</c:f>
              <c:strCache>
                <c:ptCount val="1"/>
                <c:pt idx="0">
                  <c:v>Female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pivot!$E$69:$E$72</c:f>
              <c:strCache>
                <c:ptCount val="3"/>
                <c:pt idx="0">
                  <c:v>Cincinnati</c:v>
                </c:pt>
                <c:pt idx="1">
                  <c:v>Cleveland</c:v>
                </c:pt>
                <c:pt idx="2">
                  <c:v>Columbus</c:v>
                </c:pt>
              </c:strCache>
            </c:strRef>
          </c:cat>
          <c:val>
            <c:numRef>
              <c:f>pivot!$F$69:$F$72</c:f>
              <c:numCache>
                <c:formatCode>0</c:formatCode>
                <c:ptCount val="3"/>
                <c:pt idx="0">
                  <c:v>144</c:v>
                </c:pt>
                <c:pt idx="1">
                  <c:v>326</c:v>
                </c:pt>
                <c:pt idx="2">
                  <c:v>129</c:v>
                </c:pt>
              </c:numCache>
            </c:numRef>
          </c:val>
          <c:extLst>
            <c:ext xmlns:c16="http://schemas.microsoft.com/office/drawing/2014/chart" uri="{C3380CC4-5D6E-409C-BE32-E72D297353CC}">
              <c16:uniqueId val="{00000000-300E-4A6E-8B46-145113026D0F}"/>
            </c:ext>
          </c:extLst>
        </c:ser>
        <c:ser>
          <c:idx val="1"/>
          <c:order val="1"/>
          <c:tx>
            <c:strRef>
              <c:f>pivot!$G$67:$G$68</c:f>
              <c:strCache>
                <c:ptCount val="1"/>
                <c:pt idx="0">
                  <c:v>Male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pivot!$E$69:$E$72</c:f>
              <c:strCache>
                <c:ptCount val="3"/>
                <c:pt idx="0">
                  <c:v>Cincinnati</c:v>
                </c:pt>
                <c:pt idx="1">
                  <c:v>Cleveland</c:v>
                </c:pt>
                <c:pt idx="2">
                  <c:v>Columbus</c:v>
                </c:pt>
              </c:strCache>
            </c:strRef>
          </c:cat>
          <c:val>
            <c:numRef>
              <c:f>pivot!$G$69:$G$72</c:f>
              <c:numCache>
                <c:formatCode>0</c:formatCode>
                <c:ptCount val="3"/>
                <c:pt idx="0">
                  <c:v>132</c:v>
                </c:pt>
                <c:pt idx="1">
                  <c:v>63</c:v>
                </c:pt>
                <c:pt idx="2">
                  <c:v>206</c:v>
                </c:pt>
              </c:numCache>
            </c:numRef>
          </c:val>
          <c:extLst>
            <c:ext xmlns:c16="http://schemas.microsoft.com/office/drawing/2014/chart" uri="{C3380CC4-5D6E-409C-BE32-E72D297353CC}">
              <c16:uniqueId val="{00000001-300E-4A6E-8B46-145113026D0F}"/>
            </c:ext>
          </c:extLst>
        </c:ser>
        <c:dLbls>
          <c:dLblPos val="ctr"/>
          <c:showLegendKey val="0"/>
          <c:showVal val="1"/>
          <c:showCatName val="0"/>
          <c:showSerName val="0"/>
          <c:showPercent val="0"/>
          <c:showBubbleSize val="0"/>
        </c:dLbls>
        <c:gapWidth val="79"/>
        <c:overlap val="100"/>
        <c:axId val="906159328"/>
        <c:axId val="906147808"/>
      </c:barChart>
      <c:catAx>
        <c:axId val="906159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06147808"/>
        <c:crosses val="autoZero"/>
        <c:auto val="1"/>
        <c:lblAlgn val="ctr"/>
        <c:lblOffset val="100"/>
        <c:noMultiLvlLbl val="0"/>
      </c:catAx>
      <c:valAx>
        <c:axId val="906147808"/>
        <c:scaling>
          <c:orientation val="minMax"/>
        </c:scaling>
        <c:delete val="1"/>
        <c:axPos val="l"/>
        <c:numFmt formatCode="0%" sourceLinked="1"/>
        <c:majorTickMark val="none"/>
        <c:minorTickMark val="none"/>
        <c:tickLblPos val="nextTo"/>
        <c:crossAx val="90615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[call_centre_data-excel-portfolio-project.xlsx]pivot!rep satisfaction</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pivot!$F$87</c:f>
              <c:strCache>
                <c:ptCount val="1"/>
                <c:pt idx="0">
                  <c:v>Total</c:v>
                </c:pt>
              </c:strCache>
            </c:strRef>
          </c:tx>
          <c:spPr>
            <a:solidFill>
              <a:schemeClr val="accent1"/>
            </a:solidFill>
            <a:ln>
              <a:noFill/>
            </a:ln>
            <a:effectLst/>
          </c:spPr>
          <c:invertIfNegative val="0"/>
          <c:cat>
            <c:strRef>
              <c:f>pivot!$E$88:$E$93</c:f>
              <c:strCache>
                <c:ptCount val="5"/>
                <c:pt idx="0">
                  <c:v>1</c:v>
                </c:pt>
                <c:pt idx="1">
                  <c:v>2</c:v>
                </c:pt>
                <c:pt idx="2">
                  <c:v>3</c:v>
                </c:pt>
                <c:pt idx="3">
                  <c:v>4</c:v>
                </c:pt>
                <c:pt idx="4">
                  <c:v>5</c:v>
                </c:pt>
              </c:strCache>
            </c:strRef>
          </c:cat>
          <c:val>
            <c:numRef>
              <c:f>pivot!$F$88:$F$93</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3EDD-421E-9BB1-4088B2A8B6CF}"/>
            </c:ext>
          </c:extLst>
        </c:ser>
        <c:dLbls>
          <c:showLegendKey val="0"/>
          <c:showVal val="0"/>
          <c:showCatName val="0"/>
          <c:showSerName val="0"/>
          <c:showPercent val="0"/>
          <c:showBubbleSize val="0"/>
        </c:dLbls>
        <c:gapWidth val="219"/>
        <c:overlap val="-27"/>
        <c:axId val="1073949632"/>
        <c:axId val="1073950112"/>
      </c:barChart>
      <c:catAx>
        <c:axId val="107394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950112"/>
        <c:crosses val="autoZero"/>
        <c:auto val="1"/>
        <c:lblAlgn val="ctr"/>
        <c:lblOffset val="100"/>
        <c:noMultiLvlLbl val="0"/>
      </c:catAx>
      <c:valAx>
        <c:axId val="1073950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94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[call_centre_data-excel-portfolio-project.xlsx]pivot!Monthly trend</c:name>
    <c:fmtId val="1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rgbClr val="FF0000"/>
                </a:solidFill>
              </a:rPr>
              <a:t>CALL TREND</a:t>
            </a:r>
          </a:p>
        </c:rich>
      </c:tx>
      <c:layout>
        <c:manualLayout>
          <c:xMode val="edge"/>
          <c:yMode val="edge"/>
          <c:x val="0.28809572786679138"/>
          <c:y val="2.5027071605999009E-2"/>
        </c:manualLayout>
      </c:layout>
      <c:overlay val="0"/>
      <c:spPr>
        <a:solidFill>
          <a:schemeClr val="accent4">
            <a:lumMod val="40000"/>
            <a:lumOff val="60000"/>
          </a:schemeClr>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65909383101484E-2"/>
          <c:y val="0.14249780894863123"/>
          <c:w val="0.67265463692038496"/>
          <c:h val="0.65853091280256637"/>
        </c:manualLayout>
      </c:layout>
      <c:areaChart>
        <c:grouping val="standard"/>
        <c:varyColors val="0"/>
        <c:ser>
          <c:idx val="1"/>
          <c:order val="1"/>
          <c:tx>
            <c:strRef>
              <c:f>pivot!$C$26</c:f>
              <c:strCache>
                <c:ptCount val="1"/>
                <c:pt idx="0">
                  <c:v>Calls Count2</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cat>
            <c:strRef>
              <c:f>pivot!$A$27:$A$39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pivot!$C$27:$C$39</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3255-474E-B79C-E9E02B2B48B2}"/>
            </c:ext>
          </c:extLst>
        </c:ser>
        <c:dLbls>
          <c:showLegendKey val="0"/>
          <c:showVal val="0"/>
          <c:showCatName val="0"/>
          <c:showSerName val="0"/>
          <c:showPercent val="0"/>
          <c:showBubbleSize val="0"/>
        </c:dLbls>
        <c:axId val="160794688"/>
        <c:axId val="160797568"/>
      </c:areaChart>
      <c:lineChart>
        <c:grouping val="standard"/>
        <c:varyColors val="0"/>
        <c:ser>
          <c:idx val="0"/>
          <c:order val="0"/>
          <c:tx>
            <c:strRef>
              <c:f>pivot!$B$26</c:f>
              <c:strCache>
                <c:ptCount val="1"/>
                <c:pt idx="0">
                  <c:v>Calls Count</c:v>
                </c:pt>
              </c:strCache>
            </c:strRef>
          </c:tx>
          <c:spPr>
            <a:ln w="28575" cap="rnd">
              <a:solidFill>
                <a:schemeClr val="accent1"/>
              </a:solidFill>
              <a:round/>
            </a:ln>
            <a:effectLst/>
          </c:spPr>
          <c:marker>
            <c:symbol val="circle"/>
            <c:size val="6"/>
            <c:spPr>
              <a:solidFill>
                <a:schemeClr val="accent1"/>
              </a:solidFill>
              <a:ln>
                <a:noFill/>
              </a:ln>
              <a:effectLst/>
            </c:spPr>
          </c:marker>
          <c:cat>
            <c:strRef>
              <c:f>pivot!$A$27:$A$39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pivot!$B$27:$B$39</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3255-474E-B79C-E9E02B2B48B2}"/>
            </c:ext>
          </c:extLst>
        </c:ser>
        <c:dLbls>
          <c:showLegendKey val="0"/>
          <c:showVal val="0"/>
          <c:showCatName val="0"/>
          <c:showSerName val="0"/>
          <c:showPercent val="0"/>
          <c:showBubbleSize val="0"/>
        </c:dLbls>
        <c:marker val="1"/>
        <c:smooth val="0"/>
        <c:axId val="160794688"/>
        <c:axId val="160797568"/>
      </c:lineChart>
      <c:catAx>
        <c:axId val="1607946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97568"/>
        <c:crosses val="autoZero"/>
        <c:auto val="1"/>
        <c:lblAlgn val="ctr"/>
        <c:lblOffset val="100"/>
        <c:noMultiLvlLbl val="0"/>
      </c:catAx>
      <c:valAx>
        <c:axId val="160797568"/>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94688"/>
        <c:crosses val="autoZero"/>
        <c:crossBetween val="between"/>
      </c:valAx>
      <c:spPr>
        <a:noFill/>
        <a:ln>
          <a:noFill/>
        </a:ln>
        <a:effectLst/>
      </c:spPr>
    </c:plotArea>
    <c:legend>
      <c:legendPos val="r"/>
      <c:layout>
        <c:manualLayout>
          <c:xMode val="edge"/>
          <c:yMode val="edge"/>
          <c:x val="0.82619258884828439"/>
          <c:y val="0.95830080875740753"/>
          <c:w val="5.3900787254891801E-2"/>
          <c:h val="1.51932701481972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[call_centre_data-excel-portfolio-project.xlsx]pivot!weekly trend</c:name>
    <c:fmtId val="39"/>
  </c:pivotSource>
  <c:chart>
    <c:title>
      <c:layout>
        <c:manualLayout>
          <c:xMode val="edge"/>
          <c:yMode val="edge"/>
          <c:x val="0.4258333333333334"/>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54670591916712"/>
          <c:y val="0.27345654049476281"/>
          <c:w val="0.78645603674540687"/>
          <c:h val="0.4116761446485856"/>
        </c:manualLayout>
      </c:layout>
      <c:barChart>
        <c:barDir val="col"/>
        <c:grouping val="clustered"/>
        <c:varyColors val="0"/>
        <c:ser>
          <c:idx val="0"/>
          <c:order val="0"/>
          <c:tx>
            <c:strRef>
              <c:f>pivot!$J$27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pivot!$I$28:$I$35</c:f>
              <c:strCache>
                <c:ptCount val="7"/>
                <c:pt idx="0">
                  <c:v>Sunday</c:v>
                </c:pt>
                <c:pt idx="1">
                  <c:v>Monday</c:v>
                </c:pt>
                <c:pt idx="2">
                  <c:v>Tuesday</c:v>
                </c:pt>
                <c:pt idx="3">
                  <c:v>Wednesday</c:v>
                </c:pt>
                <c:pt idx="4">
                  <c:v>Thursday</c:v>
                </c:pt>
                <c:pt idx="5">
                  <c:v>Friday</c:v>
                </c:pt>
                <c:pt idx="6">
                  <c:v>Saturday</c:v>
                </c:pt>
              </c:strCache>
            </c:strRef>
          </c:cat>
          <c:val>
            <c:numRef>
              <c:f>pivot!$J$28:$J$35</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8FA3-42C2-A170-8093E6048CF1}"/>
            </c:ext>
          </c:extLst>
        </c:ser>
        <c:dLbls>
          <c:dLblPos val="outEnd"/>
          <c:showLegendKey val="0"/>
          <c:showVal val="1"/>
          <c:showCatName val="0"/>
          <c:showSerName val="0"/>
          <c:showPercent val="0"/>
          <c:showBubbleSize val="0"/>
        </c:dLbls>
        <c:gapWidth val="100"/>
        <c:overlap val="-24"/>
        <c:axId val="263577552"/>
        <c:axId val="263575152"/>
      </c:barChart>
      <c:catAx>
        <c:axId val="263577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75152"/>
        <c:crosses val="autoZero"/>
        <c:auto val="1"/>
        <c:lblAlgn val="ctr"/>
        <c:lblOffset val="100"/>
        <c:noMultiLvlLbl val="0"/>
      </c:catAx>
      <c:valAx>
        <c:axId val="263575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7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CALLS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pivot!$F$47:$F$51</c:f>
              <c:strCache>
                <c:ptCount val="5"/>
                <c:pt idx="0">
                  <c:v>R01</c:v>
                </c:pt>
                <c:pt idx="1">
                  <c:v>R02</c:v>
                </c:pt>
                <c:pt idx="2">
                  <c:v>R03</c:v>
                </c:pt>
                <c:pt idx="3">
                  <c:v>R04</c:v>
                </c:pt>
                <c:pt idx="4">
                  <c:v>R05</c:v>
                </c:pt>
              </c:strCache>
            </c:strRef>
          </c:cat>
          <c:val>
            <c:numRef>
              <c:f>pivot!$G$47:$G$51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6EF-4B98-80E5-2B22A94BF347}"/>
            </c:ext>
          </c:extLst>
        </c:ser>
        <c:ser>
          <c:idx val="1"/>
          <c:order val="1"/>
          <c:tx>
            <c:strRef>
              <c:f>pivot!$I$46</c:f>
              <c:strCache>
                <c:ptCount val="1"/>
                <c:pt idx="0">
                  <c:v>sel. Calls</c:v>
                </c:pt>
              </c:strCache>
            </c:strRef>
          </c:tx>
          <c:spPr>
            <a:pattFill prst="lgCheck">
              <a:fgClr>
                <a:schemeClr val="accent1"/>
              </a:fgClr>
              <a:bgClr>
                <a:schemeClr val="bg1"/>
              </a:bgClr>
            </a:patt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pivot!$I$47:$I$51</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86EF-4B98-80E5-2B22A94BF347}"/>
            </c:ext>
          </c:extLst>
        </c:ser>
        <c:dLbls>
          <c:dLblPos val="outEnd"/>
          <c:showLegendKey val="0"/>
          <c:showVal val="1"/>
          <c:showCatName val="0"/>
          <c:showSerName val="0"/>
          <c:showPercent val="0"/>
          <c:showBubbleSize val="0"/>
        </c:dLbls>
        <c:gapWidth val="65"/>
        <c:overlap val="100"/>
        <c:axId val="783371168"/>
        <c:axId val="783379808"/>
      </c:barChart>
      <c:catAx>
        <c:axId val="783371168"/>
        <c:scaling>
          <c:orientation val="maxMin"/>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3379808"/>
        <c:crosses val="autoZero"/>
        <c:auto val="1"/>
        <c:lblAlgn val="ctr"/>
        <c:lblOffset val="100"/>
        <c:noMultiLvlLbl val="0"/>
      </c:catAx>
      <c:valAx>
        <c:axId val="783379808"/>
        <c:scaling>
          <c:orientation val="minMax"/>
          <c:min val="0"/>
        </c:scaling>
        <c:delete val="1"/>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crossAx val="78337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lumMod val="60000"/>
                <a:lumOff val="40000"/>
                <a:alpha val="99000"/>
              </a:schemeClr>
            </a:solidFill>
            <a:ln w="9525" cap="flat" cmpd="sng" algn="ctr">
              <a:solidFill>
                <a:schemeClr val="lt1">
                  <a:alpha val="50000"/>
                </a:schemeClr>
              </a:solidFill>
              <a:round/>
            </a:ln>
            <a:effectLst/>
          </c:spPr>
          <c:invertIfNegative val="0"/>
          <c:dLbls>
            <c:spPr>
              <a:blipFill dpi="0" rotWithShape="1">
                <a:blip xmlns:r="http://schemas.openxmlformats.org/officeDocument/2006/relationships" r:embed="rId3"/>
                <a:srcRect/>
                <a:tile tx="0" ty="0" sx="100000" sy="100000" flip="none" algn="tl"/>
              </a:blipFill>
              <a:ln>
                <a:solidFill>
                  <a:schemeClr val="accent1"/>
                </a:solidFill>
              </a:ln>
              <a:effectLst>
                <a:outerShdw blurRad="50800" dist="50800" dir="5400000" algn="ctr" rotWithShape="0">
                  <a:schemeClr val="tx2">
                    <a:lumMod val="75000"/>
                    <a:lumOff val="25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pivot!$F$47:$F$51</c:f>
              <c:strCache>
                <c:ptCount val="5"/>
                <c:pt idx="0">
                  <c:v>R01</c:v>
                </c:pt>
                <c:pt idx="1">
                  <c:v>R02</c:v>
                </c:pt>
                <c:pt idx="2">
                  <c:v>R03</c:v>
                </c:pt>
                <c:pt idx="3">
                  <c:v>R04</c:v>
                </c:pt>
                <c:pt idx="4">
                  <c:v>R05</c:v>
                </c:pt>
              </c:strCache>
            </c:strRef>
          </c:cat>
          <c:val>
            <c:numRef>
              <c:f>pivot!$H$47:$H$51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A9C-4EF9-9FAA-A92E8E9FDD04}"/>
            </c:ext>
          </c:extLst>
        </c:ser>
        <c:ser>
          <c:idx val="1"/>
          <c:order val="1"/>
          <c:tx>
            <c:strRef>
              <c:f>pivot!$J$46</c:f>
              <c:strCache>
                <c:ptCount val="1"/>
                <c:pt idx="0">
                  <c:v>sel.amt</c:v>
                </c:pt>
              </c:strCache>
            </c:strRef>
          </c:tx>
          <c:spPr>
            <a:pattFill prst="lgCheck">
              <a:fgClr>
                <a:schemeClr val="accent1"/>
              </a:fgClr>
              <a:bgClr>
                <a:schemeClr val="bg1"/>
              </a:bgClr>
            </a:pattFill>
            <a:ln w="9525" cap="flat" cmpd="sng" algn="ctr">
              <a:solidFill>
                <a:schemeClr val="lt1">
                  <a:alpha val="50000"/>
                </a:schemeClr>
              </a:solidFill>
              <a:round/>
            </a:ln>
            <a:effectLst/>
          </c:spPr>
          <c:invertIfNegative val="0"/>
          <c:dLbls>
            <c:delete val="1"/>
          </c:dLbls>
          <c:val>
            <c:numRef>
              <c:f>pivot!$J$47:$J$51</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9A9C-4EF9-9FAA-A92E8E9FDD04}"/>
            </c:ext>
          </c:extLst>
        </c:ser>
        <c:dLbls>
          <c:dLblPos val="outEnd"/>
          <c:showLegendKey val="0"/>
          <c:showVal val="1"/>
          <c:showCatName val="0"/>
          <c:showSerName val="0"/>
          <c:showPercent val="0"/>
          <c:showBubbleSize val="0"/>
        </c:dLbls>
        <c:gapWidth val="65"/>
        <c:overlap val="100"/>
        <c:axId val="783371168"/>
        <c:axId val="783379808"/>
      </c:barChart>
      <c:catAx>
        <c:axId val="783371168"/>
        <c:scaling>
          <c:orientation val="maxMin"/>
        </c:scaling>
        <c:delete val="1"/>
        <c:axPos val="l"/>
        <c:numFmt formatCode="General" sourceLinked="1"/>
        <c:majorTickMark val="out"/>
        <c:minorTickMark val="none"/>
        <c:tickLblPos val="nextTo"/>
        <c:crossAx val="783379808"/>
        <c:crosses val="autoZero"/>
        <c:auto val="1"/>
        <c:lblAlgn val="ctr"/>
        <c:lblOffset val="100"/>
        <c:noMultiLvlLbl val="0"/>
      </c:catAx>
      <c:valAx>
        <c:axId val="783379808"/>
        <c:scaling>
          <c:orientation val="minMax"/>
        </c:scaling>
        <c:delete val="1"/>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k&quot;" sourceLinked="1"/>
        <c:majorTickMark val="out"/>
        <c:minorTickMark val="none"/>
        <c:tickLblPos val="nextTo"/>
        <c:crossAx val="78337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[call_centre_data-excel-portfolio-project.xlsx]pivot!PivotTable1</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b="1">
                <a:solidFill>
                  <a:srgbClr val="92D050"/>
                </a:solidFill>
              </a:rPr>
              <a:t>FEMALE</a:t>
            </a:r>
            <a:r>
              <a:rPr lang="en-IN" b="1">
                <a:solidFill>
                  <a:srgbClr val="7030A0"/>
                </a:solidFill>
              </a:rPr>
              <a:t> VS </a:t>
            </a:r>
            <a:r>
              <a:rPr lang="en-IN" b="1">
                <a:solidFill>
                  <a:schemeClr val="accent1"/>
                </a:solidFill>
              </a:rPr>
              <a:t>MALE</a:t>
            </a:r>
            <a:r>
              <a:rPr lang="en-IN" b="1">
                <a:solidFill>
                  <a:srgbClr val="7030A0"/>
                </a:solidFill>
              </a:rPr>
              <a:t> CALLERS</a:t>
            </a:r>
          </a:p>
        </c:rich>
      </c:tx>
      <c:layout>
        <c:manualLayout>
          <c:xMode val="edge"/>
          <c:yMode val="edge"/>
          <c:x val="0.23433570737054113"/>
          <c:y val="5.566399170262096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tint val="77000"/>
              </a:schemeClr>
            </a:solidFill>
            <a:ln w="9525">
              <a:solidFill>
                <a:schemeClr val="accent1">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1">
                <a:shade val="76000"/>
              </a:schemeClr>
            </a:solidFill>
            <a:ln w="9525">
              <a:solidFill>
                <a:schemeClr val="accent1">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solidFill>
              <a:schemeClr val="tx2"/>
            </a:solidFill>
          </a:ln>
          <a:effectLst/>
        </c:spPr>
        <c:marker>
          <c:symbol val="none"/>
        </c:marker>
        <c:dLbl>
          <c:idx val="0"/>
          <c:spPr>
            <a:solidFill>
              <a:schemeClr val="bg2">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solidFill>
              <a:schemeClr val="tx2"/>
            </a:solidFill>
          </a:ln>
          <a:effectLst/>
        </c:spPr>
        <c:marker>
          <c:symbol val="none"/>
        </c:marker>
        <c:dLbl>
          <c:idx val="0"/>
          <c:spPr>
            <a:solidFill>
              <a:schemeClr val="bg2">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barChart>
        <c:barDir val="col"/>
        <c:grouping val="percentStacked"/>
        <c:varyColors val="0"/>
        <c:ser>
          <c:idx val="0"/>
          <c:order val="0"/>
          <c:tx>
            <c:strRef>
              <c:f>pivot!$F$67:$F$68</c:f>
              <c:strCache>
                <c:ptCount val="1"/>
                <c:pt idx="0">
                  <c:v>Female</c:v>
                </c:pt>
              </c:strCache>
            </c:strRef>
          </c:tx>
          <c:spPr>
            <a:solidFill>
              <a:srgbClr val="92D050"/>
            </a:solidFill>
            <a:ln>
              <a:solidFill>
                <a:schemeClr val="tx2"/>
              </a:solidFill>
            </a:ln>
            <a:effectLst/>
          </c:spPr>
          <c:invertIfNegative val="0"/>
          <c:dLbls>
            <c:spPr>
              <a:solidFill>
                <a:schemeClr val="bg2">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pivot!$E$69:$E$72</c:f>
              <c:strCache>
                <c:ptCount val="3"/>
                <c:pt idx="0">
                  <c:v>Cincinnati</c:v>
                </c:pt>
                <c:pt idx="1">
                  <c:v>Cleveland</c:v>
                </c:pt>
                <c:pt idx="2">
                  <c:v>Columbus</c:v>
                </c:pt>
              </c:strCache>
            </c:strRef>
          </c:cat>
          <c:val>
            <c:numRef>
              <c:f>pivot!$F$69:$F$72</c:f>
              <c:numCache>
                <c:formatCode>0</c:formatCode>
                <c:ptCount val="3"/>
                <c:pt idx="0">
                  <c:v>144</c:v>
                </c:pt>
                <c:pt idx="1">
                  <c:v>326</c:v>
                </c:pt>
                <c:pt idx="2">
                  <c:v>129</c:v>
                </c:pt>
              </c:numCache>
            </c:numRef>
          </c:val>
          <c:extLst>
            <c:ext xmlns:c16="http://schemas.microsoft.com/office/drawing/2014/chart" uri="{C3380CC4-5D6E-409C-BE32-E72D297353CC}">
              <c16:uniqueId val="{00000000-B7B7-41D0-ACA7-69A46F4C4880}"/>
            </c:ext>
          </c:extLst>
        </c:ser>
        <c:ser>
          <c:idx val="1"/>
          <c:order val="1"/>
          <c:tx>
            <c:strRef>
              <c:f>pivot!$G$67:$G$68</c:f>
              <c:strCache>
                <c:ptCount val="1"/>
                <c:pt idx="0">
                  <c:v>Male</c:v>
                </c:pt>
              </c:strCache>
            </c:strRef>
          </c:tx>
          <c:spPr>
            <a:solidFill>
              <a:schemeClr val="accent1">
                <a:shade val="76000"/>
              </a:schemeClr>
            </a:solidFill>
            <a:ln>
              <a:solidFill>
                <a:schemeClr val="tx2"/>
              </a:solidFill>
            </a:ln>
            <a:effectLst/>
          </c:spPr>
          <c:invertIfNegative val="0"/>
          <c:dLbls>
            <c:spPr>
              <a:solidFill>
                <a:schemeClr val="bg2">
                  <a:lumMod val="20000"/>
                  <a:lumOff val="8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a:solidFill>
                        <a:schemeClr val="tx1">
                          <a:lumMod val="35000"/>
                          <a:lumOff val="65000"/>
                        </a:schemeClr>
                      </a:solidFill>
                    </a:ln>
                    <a:effectLst/>
                  </c:spPr>
                </c15:leaderLines>
              </c:ext>
            </c:extLst>
          </c:dLbls>
          <c:cat>
            <c:strRef>
              <c:f>pivot!$E$69:$E$72</c:f>
              <c:strCache>
                <c:ptCount val="3"/>
                <c:pt idx="0">
                  <c:v>Cincinnati</c:v>
                </c:pt>
                <c:pt idx="1">
                  <c:v>Cleveland</c:v>
                </c:pt>
                <c:pt idx="2">
                  <c:v>Columbus</c:v>
                </c:pt>
              </c:strCache>
            </c:strRef>
          </c:cat>
          <c:val>
            <c:numRef>
              <c:f>pivot!$G$69:$G$72</c:f>
              <c:numCache>
                <c:formatCode>0</c:formatCode>
                <c:ptCount val="3"/>
                <c:pt idx="0">
                  <c:v>132</c:v>
                </c:pt>
                <c:pt idx="1">
                  <c:v>63</c:v>
                </c:pt>
                <c:pt idx="2">
                  <c:v>206</c:v>
                </c:pt>
              </c:numCache>
            </c:numRef>
          </c:val>
          <c:extLst>
            <c:ext xmlns:c16="http://schemas.microsoft.com/office/drawing/2014/chart" uri="{C3380CC4-5D6E-409C-BE32-E72D297353CC}">
              <c16:uniqueId val="{00000001-B7B7-41D0-ACA7-69A46F4C4880}"/>
            </c:ext>
          </c:extLst>
        </c:ser>
        <c:dLbls>
          <c:showLegendKey val="0"/>
          <c:showVal val="0"/>
          <c:showCatName val="0"/>
          <c:showSerName val="0"/>
          <c:showPercent val="0"/>
          <c:showBubbleSize val="0"/>
        </c:dLbls>
        <c:gapWidth val="68"/>
        <c:overlap val="100"/>
        <c:axId val="906159328"/>
        <c:axId val="906147808"/>
      </c:barChart>
      <c:catAx>
        <c:axId val="906159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06147808"/>
        <c:crosses val="autoZero"/>
        <c:auto val="1"/>
        <c:lblAlgn val="ctr"/>
        <c:lblOffset val="100"/>
        <c:noMultiLvlLbl val="0"/>
      </c:catAx>
      <c:valAx>
        <c:axId val="906147808"/>
        <c:scaling>
          <c:orientation val="minMax"/>
        </c:scaling>
        <c:delete val="1"/>
        <c:axPos val="l"/>
        <c:numFmt formatCode="0%" sourceLinked="1"/>
        <c:majorTickMark val="out"/>
        <c:minorTickMark val="none"/>
        <c:tickLblPos val="nextTo"/>
        <c:crossAx val="90615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[call_centre_data-excel-portfolio-project.xlsx]pivot!rep satisfaction</c:name>
    <c:fmtId val="18"/>
  </c:pivotSource>
  <c:chart>
    <c:title>
      <c:tx>
        <c:rich>
          <a:bodyPr rot="0" spcFirstLastPara="1" vertOverflow="ellipsis" vert="horz" wrap="square" anchor="ctr" anchorCtr="1"/>
          <a:lstStyle/>
          <a:p>
            <a:pPr>
              <a:defRPr sz="1800" b="0" i="0" u="none" strike="noStrike" kern="1200" cap="none" spc="50" normalizeH="0" baseline="0">
                <a:solidFill>
                  <a:srgbClr val="00B050"/>
                </a:solidFill>
                <a:latin typeface="+mj-lt"/>
                <a:ea typeface="+mj-ea"/>
                <a:cs typeface="+mj-cs"/>
              </a:defRPr>
            </a:pPr>
            <a:r>
              <a:rPr lang="en-US" sz="1800" b="1" u="sng">
                <a:solidFill>
                  <a:srgbClr val="00B050"/>
                </a:solidFill>
                <a:latin typeface="Calibri" panose="020F0502020204030204" pitchFamily="34" charset="0"/>
                <a:ea typeface="Calibri" panose="020F0502020204030204" pitchFamily="34" charset="0"/>
                <a:cs typeface="Calibri" panose="020F0502020204030204" pitchFamily="34" charset="0"/>
              </a:rPr>
              <a:t>RATING</a:t>
            </a:r>
          </a:p>
        </c:rich>
      </c:tx>
      <c:layout>
        <c:manualLayout>
          <c:xMode val="edge"/>
          <c:yMode val="edge"/>
          <c:x val="0.37038616498570909"/>
          <c:y val="8.7452677657283262E-2"/>
        </c:manualLayout>
      </c:layout>
      <c:overlay val="0"/>
      <c:spPr>
        <a:noFill/>
        <a:ln>
          <a:noFill/>
        </a:ln>
        <a:effectLst/>
      </c:spPr>
      <c:txPr>
        <a:bodyPr rot="0" spcFirstLastPara="1" vertOverflow="ellipsis" vert="horz" wrap="square" anchor="ctr" anchorCtr="1"/>
        <a:lstStyle/>
        <a:p>
          <a:pPr>
            <a:defRPr sz="1800" b="0" i="0" u="none" strike="noStrike" kern="1200" cap="none" spc="50" normalizeH="0" baseline="0">
              <a:solidFill>
                <a:srgbClr val="00B050"/>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pivot!$F$87</c:f>
              <c:strCache>
                <c:ptCount val="1"/>
                <c:pt idx="0">
                  <c:v>Total</c:v>
                </c:pt>
              </c:strCache>
            </c:strRef>
          </c:tx>
          <c:spPr>
            <a:solidFill>
              <a:srgbClr val="0070C0"/>
            </a:solidFill>
            <a:ln>
              <a:solidFill>
                <a:srgbClr val="0070C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pivot!$E$88:$E$93</c:f>
              <c:strCache>
                <c:ptCount val="5"/>
                <c:pt idx="0">
                  <c:v>1</c:v>
                </c:pt>
                <c:pt idx="1">
                  <c:v>2</c:v>
                </c:pt>
                <c:pt idx="2">
                  <c:v>3</c:v>
                </c:pt>
                <c:pt idx="3">
                  <c:v>4</c:v>
                </c:pt>
                <c:pt idx="4">
                  <c:v>5</c:v>
                </c:pt>
              </c:strCache>
            </c:strRef>
          </c:cat>
          <c:val>
            <c:numRef>
              <c:f>pivot!$F$88:$F$93</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7EE6-43FD-A7D5-DA8B865DE4A5}"/>
            </c:ext>
          </c:extLst>
        </c:ser>
        <c:dLbls>
          <c:dLblPos val="outEnd"/>
          <c:showLegendKey val="0"/>
          <c:showVal val="1"/>
          <c:showCatName val="0"/>
          <c:showSerName val="0"/>
          <c:showPercent val="0"/>
          <c:showBubbleSize val="0"/>
        </c:dLbls>
        <c:gapWidth val="28"/>
        <c:overlap val="25"/>
        <c:axId val="1073949632"/>
        <c:axId val="1073950112"/>
      </c:barChart>
      <c:catAx>
        <c:axId val="1073949632"/>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73950112"/>
        <c:crosses val="autoZero"/>
        <c:auto val="1"/>
        <c:lblAlgn val="ctr"/>
        <c:lblOffset val="100"/>
        <c:noMultiLvlLbl val="0"/>
      </c:catAx>
      <c:valAx>
        <c:axId val="1073950112"/>
        <c:scaling>
          <c:orientation val="minMax"/>
        </c:scaling>
        <c:delete val="1"/>
        <c:axPos val="l"/>
        <c:majorGridlines>
          <c:spPr>
            <a:ln w="9525" cap="flat" cmpd="sng" algn="ctr">
              <a:solidFill>
                <a:schemeClr val="tx1">
                  <a:lumMod val="5000"/>
                  <a:lumOff val="95000"/>
                </a:schemeClr>
              </a:solidFill>
              <a:round/>
            </a:ln>
            <a:effectLst/>
          </c:spPr>
        </c:majorGridlines>
        <c:numFmt formatCode="0" sourceLinked="1"/>
        <c:majorTickMark val="out"/>
        <c:minorTickMark val="none"/>
        <c:tickLblPos val="nextTo"/>
        <c:crossAx val="107394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svg"/><Relationship Id="rId4" Type="http://schemas.openxmlformats.org/officeDocument/2006/relationships/image" Target="../media/image5.sv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9.xml"/><Relationship Id="rId3" Type="http://schemas.openxmlformats.org/officeDocument/2006/relationships/image" Target="../media/image6.png"/><Relationship Id="rId7" Type="http://schemas.openxmlformats.org/officeDocument/2006/relationships/image" Target="../media/image12.png"/><Relationship Id="rId12" Type="http://schemas.openxmlformats.org/officeDocument/2006/relationships/chart" Target="../charts/chart8.xml"/><Relationship Id="rId2" Type="http://schemas.openxmlformats.org/officeDocument/2006/relationships/image" Target="../media/image15.svg"/><Relationship Id="rId16" Type="http://schemas.openxmlformats.org/officeDocument/2006/relationships/chart" Target="../charts/chart12.xml"/><Relationship Id="rId1" Type="http://schemas.openxmlformats.org/officeDocument/2006/relationships/image" Target="../media/image14.png"/><Relationship Id="rId6" Type="http://schemas.openxmlformats.org/officeDocument/2006/relationships/image" Target="../media/image5.svg"/><Relationship Id="rId11" Type="http://schemas.openxmlformats.org/officeDocument/2006/relationships/chart" Target="../charts/chart7.xml"/><Relationship Id="rId5" Type="http://schemas.openxmlformats.org/officeDocument/2006/relationships/image" Target="../media/image4.png"/><Relationship Id="rId15" Type="http://schemas.openxmlformats.org/officeDocument/2006/relationships/chart" Target="../charts/chart11.xml"/><Relationship Id="rId10" Type="http://schemas.openxmlformats.org/officeDocument/2006/relationships/image" Target="../media/image3.svg"/><Relationship Id="rId4" Type="http://schemas.openxmlformats.org/officeDocument/2006/relationships/image" Target="../media/image7.svg"/><Relationship Id="rId9" Type="http://schemas.openxmlformats.org/officeDocument/2006/relationships/image" Target="../media/image2.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76200</xdr:colOff>
      <xdr:row>3</xdr:row>
      <xdr:rowOff>129540</xdr:rowOff>
    </xdr:from>
    <xdr:to>
      <xdr:col>10</xdr:col>
      <xdr:colOff>133350</xdr:colOff>
      <xdr:row>17</xdr:row>
      <xdr:rowOff>36195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87505936-D2FD-FB04-1230-7F262FC1071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318760" y="678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335280</xdr:colOff>
      <xdr:row>12</xdr:row>
      <xdr:rowOff>0</xdr:rowOff>
    </xdr:from>
    <xdr:to>
      <xdr:col>5</xdr:col>
      <xdr:colOff>556260</xdr:colOff>
      <xdr:row>24</xdr:row>
      <xdr:rowOff>19050</xdr:rowOff>
    </xdr:to>
    <xdr:graphicFrame macro="">
      <xdr:nvGraphicFramePr>
        <xdr:cNvPr id="4" name="Chart 3">
          <a:extLst>
            <a:ext uri="{FF2B5EF4-FFF2-40B4-BE49-F238E27FC236}">
              <a16:creationId xmlns:a16="http://schemas.microsoft.com/office/drawing/2014/main" id="{713E5B4B-E098-7D30-AD38-23976E0D1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228600</xdr:colOff>
      <xdr:row>9</xdr:row>
      <xdr:rowOff>138113</xdr:rowOff>
    </xdr:from>
    <xdr:to>
      <xdr:col>17</xdr:col>
      <xdr:colOff>352425</xdr:colOff>
      <xdr:row>24</xdr:row>
      <xdr:rowOff>166688</xdr:rowOff>
    </xdr:to>
    <xdr:graphicFrame macro="">
      <xdr:nvGraphicFramePr>
        <xdr:cNvPr id="3" name="Chart 2">
          <a:extLst>
            <a:ext uri="{FF2B5EF4-FFF2-40B4-BE49-F238E27FC236}">
              <a16:creationId xmlns:a16="http://schemas.microsoft.com/office/drawing/2014/main" id="{E2E07272-E5C4-5F6E-A6C2-25A023061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104775</xdr:colOff>
      <xdr:row>45</xdr:row>
      <xdr:rowOff>9525</xdr:rowOff>
    </xdr:from>
    <xdr:to>
      <xdr:col>18</xdr:col>
      <xdr:colOff>409575</xdr:colOff>
      <xdr:row>60</xdr:row>
      <xdr:rowOff>38100</xdr:rowOff>
    </xdr:to>
    <xdr:graphicFrame macro="">
      <xdr:nvGraphicFramePr>
        <xdr:cNvPr id="5" name="Chart 4">
          <a:extLst>
            <a:ext uri="{FF2B5EF4-FFF2-40B4-BE49-F238E27FC236}">
              <a16:creationId xmlns:a16="http://schemas.microsoft.com/office/drawing/2014/main" id="{3D26026E-38D5-1AB5-0595-7A651A08A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552450</xdr:colOff>
      <xdr:row>44</xdr:row>
      <xdr:rowOff>152400</xdr:rowOff>
    </xdr:from>
    <xdr:to>
      <xdr:col>26</xdr:col>
      <xdr:colOff>247650</xdr:colOff>
      <xdr:row>60</xdr:row>
      <xdr:rowOff>0</xdr:rowOff>
    </xdr:to>
    <xdr:graphicFrame macro="">
      <xdr:nvGraphicFramePr>
        <xdr:cNvPr id="6" name="Chart 5">
          <a:extLst>
            <a:ext uri="{FF2B5EF4-FFF2-40B4-BE49-F238E27FC236}">
              <a16:creationId xmlns:a16="http://schemas.microsoft.com/office/drawing/2014/main" id="{0F7F5AAE-4047-40D0-A96B-DCCC9D72E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561975</xdr:colOff>
      <xdr:row>64</xdr:row>
      <xdr:rowOff>47625</xdr:rowOff>
    </xdr:from>
    <xdr:to>
      <xdr:col>16</xdr:col>
      <xdr:colOff>571500</xdr:colOff>
      <xdr:row>79</xdr:row>
      <xdr:rowOff>76200</xdr:rowOff>
    </xdr:to>
    <xdr:graphicFrame macro="">
      <xdr:nvGraphicFramePr>
        <xdr:cNvPr id="7" name="Chart 6">
          <a:extLst>
            <a:ext uri="{FF2B5EF4-FFF2-40B4-BE49-F238E27FC236}">
              <a16:creationId xmlns:a16="http://schemas.microsoft.com/office/drawing/2014/main" id="{A2FB325F-CC7E-9335-C28D-804F5064F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842963</xdr:colOff>
      <xdr:row>75</xdr:row>
      <xdr:rowOff>4763</xdr:rowOff>
    </xdr:from>
    <xdr:to>
      <xdr:col>15</xdr:col>
      <xdr:colOff>547688</xdr:colOff>
      <xdr:row>90</xdr:row>
      <xdr:rowOff>33338</xdr:rowOff>
    </xdr:to>
    <xdr:graphicFrame macro="">
      <xdr:nvGraphicFramePr>
        <xdr:cNvPr id="8" name="Chart 7">
          <a:extLst>
            <a:ext uri="{FF2B5EF4-FFF2-40B4-BE49-F238E27FC236}">
              <a16:creationId xmlns:a16="http://schemas.microsoft.com/office/drawing/2014/main" id="{67CF2A2B-4AEA-F241-73EA-DEE05DD08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4</xdr:row>
      <xdr:rowOff>499720</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169669</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156628</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241139</xdr:colOff>
      <xdr:row>0</xdr:row>
      <xdr:rowOff>0</xdr:rowOff>
    </xdr:from>
    <xdr:ext cx="184731" cy="374141"/>
    <xdr:sp macro="" textlink="">
      <xdr:nvSpPr>
        <xdr:cNvPr id="4" name="TextBox 3">
          <a:extLst>
            <a:ext uri="{FF2B5EF4-FFF2-40B4-BE49-F238E27FC236}">
              <a16:creationId xmlns:a16="http://schemas.microsoft.com/office/drawing/2014/main" id="{3C99E876-0C0E-F433-2203-428116E95D1C}"/>
            </a:ext>
          </a:extLst>
        </xdr:cNvPr>
        <xdr:cNvSpPr txBox="1"/>
      </xdr:nvSpPr>
      <xdr:spPr>
        <a:xfrm>
          <a:off x="1562582" y="0"/>
          <a:ext cx="18473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800" b="1">
            <a:solidFill>
              <a:schemeClr val="tx1"/>
            </a:solidFill>
          </a:endParaRPr>
        </a:p>
      </xdr:txBody>
    </xdr:sp>
    <xdr:clientData/>
  </xdr:oneCellAnchor>
  <xdr:twoCellAnchor>
    <xdr:from>
      <xdr:col>1</xdr:col>
      <xdr:colOff>289368</xdr:colOff>
      <xdr:row>1</xdr:row>
      <xdr:rowOff>144682</xdr:rowOff>
    </xdr:from>
    <xdr:to>
      <xdr:col>4</xdr:col>
      <xdr:colOff>540152</xdr:colOff>
      <xdr:row>8</xdr:row>
      <xdr:rowOff>36652</xdr:rowOff>
    </xdr:to>
    <xdr:sp macro="" textlink="pivot!A4">
      <xdr:nvSpPr>
        <xdr:cNvPr id="6" name="Rectangle 5">
          <a:extLst>
            <a:ext uri="{FF2B5EF4-FFF2-40B4-BE49-F238E27FC236}">
              <a16:creationId xmlns:a16="http://schemas.microsoft.com/office/drawing/2014/main" id="{6B5AB000-4381-2BCB-0C77-4AA90D7C2893}"/>
            </a:ext>
          </a:extLst>
        </xdr:cNvPr>
        <xdr:cNvSpPr/>
      </xdr:nvSpPr>
      <xdr:spPr>
        <a:xfrm>
          <a:off x="704127" y="327948"/>
          <a:ext cx="1765139" cy="1174831"/>
        </a:xfrm>
        <a:prstGeom prst="rect">
          <a:avLst/>
        </a:prstGeom>
        <a:solidFill>
          <a:schemeClr val="accent1">
            <a:lumMod val="20000"/>
            <a:lumOff val="80000"/>
          </a:schemeClr>
        </a:solidFill>
        <a:effectLst>
          <a:glow rad="63500">
            <a:schemeClr val="accent2">
              <a:satMod val="175000"/>
              <a:alpha val="4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12D986-7316-49E0-9801-92D77AA44177}" type="TxLink">
            <a:rPr lang="en-US" sz="2000" b="0" i="0" u="none" strike="noStrike">
              <a:solidFill>
                <a:srgbClr val="000000"/>
              </a:solidFill>
              <a:latin typeface="Arial Black" panose="020B0A04020102020204" pitchFamily="34" charset="0"/>
              <a:ea typeface="Calibri"/>
              <a:cs typeface="Calibri"/>
            </a:rPr>
            <a:pPr algn="ctr"/>
            <a:t>1000</a:t>
          </a:fld>
          <a:endParaRPr lang="en-IN" sz="2000">
            <a:latin typeface="Arial Black" panose="020B0A04020102020204" pitchFamily="34" charset="0"/>
          </a:endParaRPr>
        </a:p>
      </xdr:txBody>
    </xdr:sp>
    <xdr:clientData/>
  </xdr:twoCellAnchor>
  <xdr:twoCellAnchor>
    <xdr:from>
      <xdr:col>2</xdr:col>
      <xdr:colOff>192912</xdr:colOff>
      <xdr:row>2</xdr:row>
      <xdr:rowOff>38583</xdr:rowOff>
    </xdr:from>
    <xdr:to>
      <xdr:col>4</xdr:col>
      <xdr:colOff>318304</xdr:colOff>
      <xdr:row>3</xdr:row>
      <xdr:rowOff>135038</xdr:rowOff>
    </xdr:to>
    <xdr:sp macro="" textlink="">
      <xdr:nvSpPr>
        <xdr:cNvPr id="7" name="TextBox 6">
          <a:extLst>
            <a:ext uri="{FF2B5EF4-FFF2-40B4-BE49-F238E27FC236}">
              <a16:creationId xmlns:a16="http://schemas.microsoft.com/office/drawing/2014/main" id="{521C27B1-597B-3F8E-FE16-0D6F3C2D81BB}"/>
            </a:ext>
          </a:extLst>
        </xdr:cNvPr>
        <xdr:cNvSpPr txBox="1"/>
      </xdr:nvSpPr>
      <xdr:spPr>
        <a:xfrm>
          <a:off x="906684" y="405115"/>
          <a:ext cx="1340734" cy="27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1">
                  <a:lumMod val="75000"/>
                </a:schemeClr>
              </a:solidFill>
            </a:rPr>
            <a:t>  CALLS</a:t>
          </a:r>
        </a:p>
      </xdr:txBody>
    </xdr:sp>
    <xdr:clientData/>
  </xdr:twoCellAnchor>
  <xdr:twoCellAnchor editAs="oneCell">
    <xdr:from>
      <xdr:col>2</xdr:col>
      <xdr:colOff>342925</xdr:colOff>
      <xdr:row>2</xdr:row>
      <xdr:rowOff>68456</xdr:rowOff>
    </xdr:from>
    <xdr:to>
      <xdr:col>2</xdr:col>
      <xdr:colOff>559444</xdr:colOff>
      <xdr:row>3</xdr:row>
      <xdr:rowOff>96456</xdr:rowOff>
    </xdr:to>
    <xdr:pic>
      <xdr:nvPicPr>
        <xdr:cNvPr id="8" name="Graphic 7" descr="Receiver with solid fill">
          <a:extLst>
            <a:ext uri="{FF2B5EF4-FFF2-40B4-BE49-F238E27FC236}">
              <a16:creationId xmlns:a16="http://schemas.microsoft.com/office/drawing/2014/main" id="{030D6EA1-FD45-4AA7-823B-0CE92DE82D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56697" y="434988"/>
          <a:ext cx="216519" cy="211266"/>
        </a:xfrm>
        <a:prstGeom prst="rect">
          <a:avLst/>
        </a:prstGeom>
        <a:effectLst>
          <a:reflection blurRad="6350" stA="50000" endA="300" endPos="55000" dir="5400000" sy="-100000" algn="bl" rotWithShape="0"/>
        </a:effectLst>
      </xdr:spPr>
    </xdr:pic>
    <xdr:clientData/>
  </xdr:twoCellAnchor>
  <xdr:twoCellAnchor>
    <xdr:from>
      <xdr:col>3</xdr:col>
      <xdr:colOff>38582</xdr:colOff>
      <xdr:row>6</xdr:row>
      <xdr:rowOff>125393</xdr:rowOff>
    </xdr:from>
    <xdr:to>
      <xdr:col>4</xdr:col>
      <xdr:colOff>144683</xdr:colOff>
      <xdr:row>7</xdr:row>
      <xdr:rowOff>86811</xdr:rowOff>
    </xdr:to>
    <xdr:sp macro="" textlink="pivot!A10">
      <xdr:nvSpPr>
        <xdr:cNvPr id="10" name="TextBox 9">
          <a:extLst>
            <a:ext uri="{FF2B5EF4-FFF2-40B4-BE49-F238E27FC236}">
              <a16:creationId xmlns:a16="http://schemas.microsoft.com/office/drawing/2014/main" id="{BC912343-5A97-3663-361E-45B0622BFE62}"/>
            </a:ext>
          </a:extLst>
        </xdr:cNvPr>
        <xdr:cNvSpPr txBox="1"/>
      </xdr:nvSpPr>
      <xdr:spPr>
        <a:xfrm>
          <a:off x="1360025" y="1224988"/>
          <a:ext cx="713772" cy="144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CC6FF7D-98D2-46BE-A69C-275A9F365A48}" type="TxLink">
            <a:rPr lang="en-US" sz="1600" b="0" i="0" u="none" strike="noStrike">
              <a:solidFill>
                <a:srgbClr val="000000"/>
              </a:solidFill>
              <a:latin typeface="Calibri"/>
              <a:ea typeface="Calibri"/>
              <a:cs typeface="Calibri"/>
            </a:rPr>
            <a:pPr/>
            <a:t>218</a:t>
          </a:fld>
          <a:endParaRPr lang="en-IN" sz="1600"/>
        </a:p>
      </xdr:txBody>
    </xdr:sp>
    <xdr:clientData/>
  </xdr:twoCellAnchor>
  <xdr:twoCellAnchor>
    <xdr:from>
      <xdr:col>2</xdr:col>
      <xdr:colOff>9645</xdr:colOff>
      <xdr:row>9</xdr:row>
      <xdr:rowOff>154328</xdr:rowOff>
    </xdr:from>
    <xdr:to>
      <xdr:col>4</xdr:col>
      <xdr:colOff>559442</xdr:colOff>
      <xdr:row>16</xdr:row>
      <xdr:rowOff>46298</xdr:rowOff>
    </xdr:to>
    <xdr:sp macro="" textlink="pivot!B4">
      <xdr:nvSpPr>
        <xdr:cNvPr id="31" name="Rectangle 30">
          <a:extLst>
            <a:ext uri="{FF2B5EF4-FFF2-40B4-BE49-F238E27FC236}">
              <a16:creationId xmlns:a16="http://schemas.microsoft.com/office/drawing/2014/main" id="{1139EEFF-DE2C-4AC0-9828-9DC9E74763D0}"/>
            </a:ext>
          </a:extLst>
        </xdr:cNvPr>
        <xdr:cNvSpPr/>
      </xdr:nvSpPr>
      <xdr:spPr>
        <a:xfrm>
          <a:off x="723417" y="1803720"/>
          <a:ext cx="1765139" cy="1174831"/>
        </a:xfrm>
        <a:prstGeom prst="rect">
          <a:avLst/>
        </a:prstGeom>
        <a:solidFill>
          <a:schemeClr val="accent1">
            <a:lumMod val="20000"/>
            <a:lumOff val="80000"/>
          </a:schemeClr>
        </a:solidFill>
        <a:effectLst>
          <a:glow rad="63500">
            <a:schemeClr val="accent2">
              <a:satMod val="175000"/>
              <a:alpha val="4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F20896C-7CA2-46C6-8995-33CD978DCB06}" type="TxLink">
            <a:rPr lang="en-US" sz="2000" b="0" i="0" u="none" strike="noStrike">
              <a:solidFill>
                <a:srgbClr val="000000"/>
              </a:solidFill>
              <a:latin typeface="Arial Black" panose="020B0A04020102020204" pitchFamily="34" charset="0"/>
              <a:ea typeface="Calibri"/>
              <a:cs typeface="Calibri"/>
            </a:rPr>
            <a:pPr marL="0" indent="0" algn="ctr"/>
            <a:t>$96,623</a:t>
          </a:fld>
          <a:endParaRPr lang="en-IN" sz="20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2</xdr:col>
      <xdr:colOff>395469</xdr:colOff>
      <xdr:row>10</xdr:row>
      <xdr:rowOff>106101</xdr:rowOff>
    </xdr:from>
    <xdr:to>
      <xdr:col>4</xdr:col>
      <xdr:colOff>453342</xdr:colOff>
      <xdr:row>12</xdr:row>
      <xdr:rowOff>9644</xdr:rowOff>
    </xdr:to>
    <xdr:sp macro="" textlink="">
      <xdr:nvSpPr>
        <xdr:cNvPr id="32" name="TextBox 31">
          <a:extLst>
            <a:ext uri="{FF2B5EF4-FFF2-40B4-BE49-F238E27FC236}">
              <a16:creationId xmlns:a16="http://schemas.microsoft.com/office/drawing/2014/main" id="{A8FBA09B-CFDC-406E-B6EA-766F5EED1F23}"/>
            </a:ext>
          </a:extLst>
        </xdr:cNvPr>
        <xdr:cNvSpPr txBox="1"/>
      </xdr:nvSpPr>
      <xdr:spPr>
        <a:xfrm>
          <a:off x="1109241" y="1938759"/>
          <a:ext cx="1273215" cy="27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accent1">
                  <a:lumMod val="75000"/>
                </a:schemeClr>
              </a:solidFill>
            </a:rPr>
            <a:t>AMOUNT</a:t>
          </a:r>
        </a:p>
      </xdr:txBody>
    </xdr:sp>
    <xdr:clientData/>
  </xdr:twoCellAnchor>
  <xdr:twoCellAnchor>
    <xdr:from>
      <xdr:col>2</xdr:col>
      <xdr:colOff>414760</xdr:colOff>
      <xdr:row>14</xdr:row>
      <xdr:rowOff>125391</xdr:rowOff>
    </xdr:from>
    <xdr:to>
      <xdr:col>4</xdr:col>
      <xdr:colOff>202557</xdr:colOff>
      <xdr:row>15</xdr:row>
      <xdr:rowOff>135039</xdr:rowOff>
    </xdr:to>
    <xdr:sp macro="" textlink="pivot!B10">
      <xdr:nvSpPr>
        <xdr:cNvPr id="34" name="TextBox 33">
          <a:extLst>
            <a:ext uri="{FF2B5EF4-FFF2-40B4-BE49-F238E27FC236}">
              <a16:creationId xmlns:a16="http://schemas.microsoft.com/office/drawing/2014/main" id="{1FD420C8-11E0-4EC7-9676-77FEFFE68CCD}"/>
            </a:ext>
          </a:extLst>
        </xdr:cNvPr>
        <xdr:cNvSpPr txBox="1"/>
      </xdr:nvSpPr>
      <xdr:spPr>
        <a:xfrm>
          <a:off x="1128532" y="2691113"/>
          <a:ext cx="1003139" cy="19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F9459AA-C05B-442C-93B6-8C0EE1CC7642}" type="TxLink">
            <a:rPr lang="en-US" sz="1800" b="0" i="0" u="none" strike="noStrike">
              <a:solidFill>
                <a:srgbClr val="000000"/>
              </a:solidFill>
              <a:latin typeface="Calibri"/>
              <a:ea typeface="Calibri"/>
              <a:cs typeface="Calibri"/>
            </a:rPr>
            <a:pPr/>
            <a:t>$20,581</a:t>
          </a:fld>
          <a:endParaRPr lang="en-IN" sz="1800"/>
        </a:p>
      </xdr:txBody>
    </xdr:sp>
    <xdr:clientData/>
  </xdr:twoCellAnchor>
  <xdr:twoCellAnchor>
    <xdr:from>
      <xdr:col>2</xdr:col>
      <xdr:colOff>19291</xdr:colOff>
      <xdr:row>18</xdr:row>
      <xdr:rowOff>67519</xdr:rowOff>
    </xdr:from>
    <xdr:to>
      <xdr:col>4</xdr:col>
      <xdr:colOff>569088</xdr:colOff>
      <xdr:row>24</xdr:row>
      <xdr:rowOff>142755</xdr:rowOff>
    </xdr:to>
    <xdr:sp macro="" textlink="pivot!C4">
      <xdr:nvSpPr>
        <xdr:cNvPr id="35" name="Rectangle 34">
          <a:extLst>
            <a:ext uri="{FF2B5EF4-FFF2-40B4-BE49-F238E27FC236}">
              <a16:creationId xmlns:a16="http://schemas.microsoft.com/office/drawing/2014/main" id="{E9878498-07E8-4C95-90A4-3C5D6018C059}"/>
            </a:ext>
          </a:extLst>
        </xdr:cNvPr>
        <xdr:cNvSpPr/>
      </xdr:nvSpPr>
      <xdr:spPr>
        <a:xfrm>
          <a:off x="733063" y="3366304"/>
          <a:ext cx="1765139" cy="1174831"/>
        </a:xfrm>
        <a:prstGeom prst="rect">
          <a:avLst/>
        </a:prstGeom>
        <a:solidFill>
          <a:schemeClr val="accent1">
            <a:lumMod val="20000"/>
            <a:lumOff val="80000"/>
          </a:schemeClr>
        </a:solidFill>
        <a:effectLst>
          <a:glow rad="63500">
            <a:schemeClr val="accent2">
              <a:satMod val="175000"/>
              <a:alpha val="4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D60A780-235F-4E8B-A7CF-68A18534C1E1}" type="TxLink">
            <a:rPr lang="en-US" sz="2000" b="0" i="0" u="none" strike="noStrike">
              <a:solidFill>
                <a:srgbClr val="000000"/>
              </a:solidFill>
              <a:latin typeface="Arial Black" panose="020B0A04020102020204" pitchFamily="34" charset="0"/>
              <a:ea typeface="Calibri"/>
              <a:cs typeface="Calibri"/>
            </a:rPr>
            <a:pPr marL="0" indent="0" algn="ctr"/>
            <a:t>89,850</a:t>
          </a:fld>
          <a:endParaRPr lang="en-IN" sz="20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2</xdr:col>
      <xdr:colOff>356885</xdr:colOff>
      <xdr:row>18</xdr:row>
      <xdr:rowOff>77166</xdr:rowOff>
    </xdr:from>
    <xdr:to>
      <xdr:col>4</xdr:col>
      <xdr:colOff>462986</xdr:colOff>
      <xdr:row>20</xdr:row>
      <xdr:rowOff>106102</xdr:rowOff>
    </xdr:to>
    <xdr:sp macro="" textlink="">
      <xdr:nvSpPr>
        <xdr:cNvPr id="36" name="TextBox 35">
          <a:extLst>
            <a:ext uri="{FF2B5EF4-FFF2-40B4-BE49-F238E27FC236}">
              <a16:creationId xmlns:a16="http://schemas.microsoft.com/office/drawing/2014/main" id="{D243C5DE-AF20-4DDC-B128-EB3CD11F1288}"/>
            </a:ext>
          </a:extLst>
        </xdr:cNvPr>
        <xdr:cNvSpPr txBox="1"/>
      </xdr:nvSpPr>
      <xdr:spPr>
        <a:xfrm>
          <a:off x="1070657" y="3375951"/>
          <a:ext cx="1321443" cy="395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accent1">
                  <a:lumMod val="75000"/>
                </a:schemeClr>
              </a:solidFill>
            </a:rPr>
            <a:t>DURATION</a:t>
          </a:r>
        </a:p>
      </xdr:txBody>
    </xdr:sp>
    <xdr:clientData/>
  </xdr:twoCellAnchor>
  <xdr:twoCellAnchor>
    <xdr:from>
      <xdr:col>2</xdr:col>
      <xdr:colOff>434051</xdr:colOff>
      <xdr:row>22</xdr:row>
      <xdr:rowOff>135038</xdr:rowOff>
    </xdr:from>
    <xdr:to>
      <xdr:col>4</xdr:col>
      <xdr:colOff>250785</xdr:colOff>
      <xdr:row>24</xdr:row>
      <xdr:rowOff>9645</xdr:rowOff>
    </xdr:to>
    <xdr:sp macro="" textlink="pivot!C10">
      <xdr:nvSpPr>
        <xdr:cNvPr id="38" name="TextBox 37">
          <a:extLst>
            <a:ext uri="{FF2B5EF4-FFF2-40B4-BE49-F238E27FC236}">
              <a16:creationId xmlns:a16="http://schemas.microsoft.com/office/drawing/2014/main" id="{1AA2B5EC-00B4-4A90-82D7-785011145B1D}"/>
            </a:ext>
          </a:extLst>
        </xdr:cNvPr>
        <xdr:cNvSpPr txBox="1"/>
      </xdr:nvSpPr>
      <xdr:spPr>
        <a:xfrm>
          <a:off x="1147823" y="4166886"/>
          <a:ext cx="1032076" cy="241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310A98-FEF8-400C-BDA5-A07E4CF545B9}" type="TxLink">
            <a:rPr lang="en-US" sz="1600" b="0" i="0" u="none" strike="noStrike">
              <a:solidFill>
                <a:srgbClr val="000000"/>
              </a:solidFill>
              <a:latin typeface="Calibri"/>
              <a:ea typeface="Calibri"/>
              <a:cs typeface="Calibri"/>
            </a:rPr>
            <a:pPr marL="0" indent="0" algn="ctr"/>
            <a:t>19,300</a:t>
          </a:fld>
          <a:endParaRPr lang="en-IN" sz="1600" b="0" i="0" u="none" strike="noStrike">
            <a:solidFill>
              <a:srgbClr val="000000"/>
            </a:solidFill>
            <a:latin typeface="Calibri"/>
            <a:ea typeface="Calibri"/>
            <a:cs typeface="Calibri"/>
          </a:endParaRPr>
        </a:p>
      </xdr:txBody>
    </xdr:sp>
    <xdr:clientData/>
  </xdr:twoCellAnchor>
  <xdr:twoCellAnchor>
    <xdr:from>
      <xdr:col>2</xdr:col>
      <xdr:colOff>0</xdr:colOff>
      <xdr:row>26</xdr:row>
      <xdr:rowOff>125392</xdr:rowOff>
    </xdr:from>
    <xdr:to>
      <xdr:col>4</xdr:col>
      <xdr:colOff>549797</xdr:colOff>
      <xdr:row>33</xdr:row>
      <xdr:rowOff>17362</xdr:rowOff>
    </xdr:to>
    <xdr:sp macro="" textlink="pivot!D4">
      <xdr:nvSpPr>
        <xdr:cNvPr id="39" name="Rectangle 38">
          <a:extLst>
            <a:ext uri="{FF2B5EF4-FFF2-40B4-BE49-F238E27FC236}">
              <a16:creationId xmlns:a16="http://schemas.microsoft.com/office/drawing/2014/main" id="{C4CCADC2-4708-4AA4-A154-03F2E9EEF12A}"/>
            </a:ext>
          </a:extLst>
        </xdr:cNvPr>
        <xdr:cNvSpPr/>
      </xdr:nvSpPr>
      <xdr:spPr>
        <a:xfrm>
          <a:off x="713772" y="4890303"/>
          <a:ext cx="1765139" cy="1174831"/>
        </a:xfrm>
        <a:prstGeom prst="rect">
          <a:avLst/>
        </a:prstGeom>
        <a:solidFill>
          <a:schemeClr val="accent1">
            <a:lumMod val="20000"/>
            <a:lumOff val="80000"/>
          </a:schemeClr>
        </a:solidFill>
        <a:effectLst>
          <a:glow rad="63500">
            <a:schemeClr val="accent2">
              <a:satMod val="175000"/>
              <a:alpha val="4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EB0CC8D-8A62-45B6-8E99-7CB3523A18E6}" type="TxLink">
            <a:rPr lang="en-US" sz="2000" b="0" i="0" u="none" strike="noStrike">
              <a:solidFill>
                <a:srgbClr val="000000"/>
              </a:solidFill>
              <a:latin typeface="Arial Black" panose="020B0A04020102020204" pitchFamily="34" charset="0"/>
              <a:ea typeface="Calibri"/>
              <a:cs typeface="Calibri"/>
            </a:rPr>
            <a:pPr marL="0" indent="0" algn="ctr"/>
            <a:t>3.9</a:t>
          </a:fld>
          <a:endParaRPr lang="en-IN" sz="20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2</xdr:col>
      <xdr:colOff>279722</xdr:colOff>
      <xdr:row>27</xdr:row>
      <xdr:rowOff>77167</xdr:rowOff>
    </xdr:from>
    <xdr:to>
      <xdr:col>5</xdr:col>
      <xdr:colOff>173620</xdr:colOff>
      <xdr:row>29</xdr:row>
      <xdr:rowOff>28937</xdr:rowOff>
    </xdr:to>
    <xdr:sp macro="" textlink="">
      <xdr:nvSpPr>
        <xdr:cNvPr id="40" name="TextBox 39">
          <a:extLst>
            <a:ext uri="{FF2B5EF4-FFF2-40B4-BE49-F238E27FC236}">
              <a16:creationId xmlns:a16="http://schemas.microsoft.com/office/drawing/2014/main" id="{6F36F00E-1156-429A-B33B-4099877D2A56}"/>
            </a:ext>
          </a:extLst>
        </xdr:cNvPr>
        <xdr:cNvSpPr txBox="1"/>
      </xdr:nvSpPr>
      <xdr:spPr>
        <a:xfrm>
          <a:off x="993494" y="5025344"/>
          <a:ext cx="1716911" cy="318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accent1">
                  <a:lumMod val="75000"/>
                </a:schemeClr>
              </a:solidFill>
            </a:rPr>
            <a:t>  AVG.RATING</a:t>
          </a:r>
        </a:p>
      </xdr:txBody>
    </xdr:sp>
    <xdr:clientData/>
  </xdr:twoCellAnchor>
  <xdr:twoCellAnchor>
    <xdr:from>
      <xdr:col>2</xdr:col>
      <xdr:colOff>569089</xdr:colOff>
      <xdr:row>31</xdr:row>
      <xdr:rowOff>135039</xdr:rowOff>
    </xdr:from>
    <xdr:to>
      <xdr:col>4</xdr:col>
      <xdr:colOff>57873</xdr:colOff>
      <xdr:row>32</xdr:row>
      <xdr:rowOff>135039</xdr:rowOff>
    </xdr:to>
    <xdr:sp macro="" textlink="pivot!D10">
      <xdr:nvSpPr>
        <xdr:cNvPr id="42" name="TextBox 41">
          <a:extLst>
            <a:ext uri="{FF2B5EF4-FFF2-40B4-BE49-F238E27FC236}">
              <a16:creationId xmlns:a16="http://schemas.microsoft.com/office/drawing/2014/main" id="{04EEC8F6-DC1D-4351-B670-8FAFA038B9B9}"/>
            </a:ext>
          </a:extLst>
        </xdr:cNvPr>
        <xdr:cNvSpPr txBox="1"/>
      </xdr:nvSpPr>
      <xdr:spPr>
        <a:xfrm>
          <a:off x="1282861" y="5816280"/>
          <a:ext cx="704126" cy="183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5F4060-BAC0-4724-8CB5-BCD785F30466}" type="TxLink">
            <a:rPr lang="en-US" sz="1800" b="0" i="0" u="none" strike="noStrike">
              <a:solidFill>
                <a:srgbClr val="000000"/>
              </a:solidFill>
              <a:latin typeface="Calibri"/>
              <a:ea typeface="Calibri"/>
              <a:cs typeface="Calibri"/>
            </a:rPr>
            <a:pPr algn="ctr"/>
            <a:t>3.9</a:t>
          </a:fld>
          <a:endParaRPr lang="en-IN" sz="1800"/>
        </a:p>
      </xdr:txBody>
    </xdr:sp>
    <xdr:clientData/>
  </xdr:twoCellAnchor>
  <xdr:twoCellAnchor>
    <xdr:from>
      <xdr:col>1</xdr:col>
      <xdr:colOff>279722</xdr:colOff>
      <xdr:row>35</xdr:row>
      <xdr:rowOff>9645</xdr:rowOff>
    </xdr:from>
    <xdr:to>
      <xdr:col>4</xdr:col>
      <xdr:colOff>530506</xdr:colOff>
      <xdr:row>41</xdr:row>
      <xdr:rowOff>84881</xdr:rowOff>
    </xdr:to>
    <xdr:sp macro="" textlink="pivot!E4">
      <xdr:nvSpPr>
        <xdr:cNvPr id="43" name="Rectangle 42">
          <a:extLst>
            <a:ext uri="{FF2B5EF4-FFF2-40B4-BE49-F238E27FC236}">
              <a16:creationId xmlns:a16="http://schemas.microsoft.com/office/drawing/2014/main" id="{084C9012-2129-4A69-92B8-E885BE5C1522}"/>
            </a:ext>
          </a:extLst>
        </xdr:cNvPr>
        <xdr:cNvSpPr/>
      </xdr:nvSpPr>
      <xdr:spPr>
        <a:xfrm>
          <a:off x="694481" y="6423949"/>
          <a:ext cx="1765139" cy="1174831"/>
        </a:xfrm>
        <a:prstGeom prst="rect">
          <a:avLst/>
        </a:prstGeom>
        <a:solidFill>
          <a:schemeClr val="accent1">
            <a:lumMod val="20000"/>
            <a:lumOff val="80000"/>
          </a:schemeClr>
        </a:solidFill>
        <a:effectLst>
          <a:glow rad="63500">
            <a:schemeClr val="accent2">
              <a:satMod val="175000"/>
              <a:alpha val="4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01AE87D-0ADE-4617-8BFA-87A4FBF77401}" type="TxLink">
            <a:rPr lang="en-US" sz="2000" b="0" i="0" u="none" strike="noStrike">
              <a:solidFill>
                <a:srgbClr val="000000"/>
              </a:solidFill>
              <a:latin typeface="Arial Black" panose="020B0A04020102020204" pitchFamily="34" charset="0"/>
              <a:ea typeface="Calibri"/>
              <a:cs typeface="Calibri"/>
            </a:rPr>
            <a:pPr marL="0" indent="0" algn="ctr"/>
            <a:t>307</a:t>
          </a:fld>
          <a:endParaRPr lang="en-IN" sz="20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2</xdr:col>
      <xdr:colOff>67519</xdr:colOff>
      <xdr:row>35</xdr:row>
      <xdr:rowOff>19292</xdr:rowOff>
    </xdr:from>
    <xdr:to>
      <xdr:col>5</xdr:col>
      <xdr:colOff>395468</xdr:colOff>
      <xdr:row>37</xdr:row>
      <xdr:rowOff>173621</xdr:rowOff>
    </xdr:to>
    <xdr:sp macro="" textlink="">
      <xdr:nvSpPr>
        <xdr:cNvPr id="44" name="TextBox 43">
          <a:extLst>
            <a:ext uri="{FF2B5EF4-FFF2-40B4-BE49-F238E27FC236}">
              <a16:creationId xmlns:a16="http://schemas.microsoft.com/office/drawing/2014/main" id="{4374F91E-D150-40CD-8755-B33718DCCE6A}"/>
            </a:ext>
          </a:extLst>
        </xdr:cNvPr>
        <xdr:cNvSpPr txBox="1"/>
      </xdr:nvSpPr>
      <xdr:spPr>
        <a:xfrm>
          <a:off x="781291" y="6433596"/>
          <a:ext cx="2150962" cy="520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accent1">
                  <a:lumMod val="75000"/>
                </a:schemeClr>
              </a:solidFill>
            </a:rPr>
            <a:t>  HAPPY CALLERS</a:t>
          </a:r>
        </a:p>
      </xdr:txBody>
    </xdr:sp>
    <xdr:clientData/>
  </xdr:twoCellAnchor>
  <xdr:twoCellAnchor>
    <xdr:from>
      <xdr:col>3</xdr:col>
      <xdr:colOff>125392</xdr:colOff>
      <xdr:row>39</xdr:row>
      <xdr:rowOff>115748</xdr:rowOff>
    </xdr:from>
    <xdr:to>
      <xdr:col>4</xdr:col>
      <xdr:colOff>57873</xdr:colOff>
      <xdr:row>40</xdr:row>
      <xdr:rowOff>135040</xdr:rowOff>
    </xdr:to>
    <xdr:sp macro="" textlink="pivot!E10">
      <xdr:nvSpPr>
        <xdr:cNvPr id="46" name="TextBox 45">
          <a:extLst>
            <a:ext uri="{FF2B5EF4-FFF2-40B4-BE49-F238E27FC236}">
              <a16:creationId xmlns:a16="http://schemas.microsoft.com/office/drawing/2014/main" id="{5D7FE061-74BF-4703-B918-1ED1E9FC0352}"/>
            </a:ext>
          </a:extLst>
        </xdr:cNvPr>
        <xdr:cNvSpPr txBox="1"/>
      </xdr:nvSpPr>
      <xdr:spPr>
        <a:xfrm>
          <a:off x="1446835" y="7263115"/>
          <a:ext cx="540152" cy="202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0209171-54D4-4F7A-AEC7-9D5FB00B600D}" type="TxLink">
            <a:rPr lang="en-US" sz="1800" b="0" i="0" u="none" strike="noStrike">
              <a:solidFill>
                <a:srgbClr val="000000"/>
              </a:solidFill>
              <a:latin typeface="Calibri"/>
              <a:ea typeface="Calibri"/>
              <a:cs typeface="Calibri"/>
            </a:rPr>
            <a:pPr/>
            <a:t>74</a:t>
          </a:fld>
          <a:endParaRPr lang="en-IN" sz="1800"/>
        </a:p>
      </xdr:txBody>
    </xdr:sp>
    <xdr:clientData/>
  </xdr:twoCellAnchor>
  <xdr:twoCellAnchor editAs="oneCell">
    <xdr:from>
      <xdr:col>2</xdr:col>
      <xdr:colOff>135038</xdr:colOff>
      <xdr:row>10</xdr:row>
      <xdr:rowOff>96456</xdr:rowOff>
    </xdr:from>
    <xdr:to>
      <xdr:col>2</xdr:col>
      <xdr:colOff>441875</xdr:colOff>
      <xdr:row>12</xdr:row>
      <xdr:rowOff>25595</xdr:rowOff>
    </xdr:to>
    <xdr:pic>
      <xdr:nvPicPr>
        <xdr:cNvPr id="2" name="Graphic 1" descr="Shopping cart with solid fill">
          <a:extLst>
            <a:ext uri="{FF2B5EF4-FFF2-40B4-BE49-F238E27FC236}">
              <a16:creationId xmlns:a16="http://schemas.microsoft.com/office/drawing/2014/main" id="{68444E18-04B6-4B2D-8812-90FAF304A2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48810" y="1929114"/>
          <a:ext cx="306837" cy="295670"/>
        </a:xfrm>
        <a:prstGeom prst="rect">
          <a:avLst/>
        </a:prstGeom>
      </xdr:spPr>
    </xdr:pic>
    <xdr:clientData/>
  </xdr:twoCellAnchor>
  <xdr:twoCellAnchor editAs="oneCell">
    <xdr:from>
      <xdr:col>2</xdr:col>
      <xdr:colOff>106101</xdr:colOff>
      <xdr:row>18</xdr:row>
      <xdr:rowOff>163974</xdr:rowOff>
    </xdr:from>
    <xdr:to>
      <xdr:col>2</xdr:col>
      <xdr:colOff>428941</xdr:colOff>
      <xdr:row>20</xdr:row>
      <xdr:rowOff>96455</xdr:rowOff>
    </xdr:to>
    <xdr:pic>
      <xdr:nvPicPr>
        <xdr:cNvPr id="3" name="Graphic 2" descr="Hourglass Finished with solid fill">
          <a:extLst>
            <a:ext uri="{FF2B5EF4-FFF2-40B4-BE49-F238E27FC236}">
              <a16:creationId xmlns:a16="http://schemas.microsoft.com/office/drawing/2014/main" id="{B400645F-F5E6-43E9-A923-74EE309AF0A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9873" y="3462759"/>
          <a:ext cx="322840" cy="299013"/>
        </a:xfrm>
        <a:prstGeom prst="rect">
          <a:avLst/>
        </a:prstGeom>
      </xdr:spPr>
    </xdr:pic>
    <xdr:clientData/>
  </xdr:twoCellAnchor>
  <xdr:twoCellAnchor editAs="oneCell">
    <xdr:from>
      <xdr:col>2</xdr:col>
      <xdr:colOff>57874</xdr:colOff>
      <xdr:row>27</xdr:row>
      <xdr:rowOff>48230</xdr:rowOff>
    </xdr:from>
    <xdr:to>
      <xdr:col>2</xdr:col>
      <xdr:colOff>443696</xdr:colOff>
      <xdr:row>28</xdr:row>
      <xdr:rowOff>210240</xdr:rowOff>
    </xdr:to>
    <xdr:pic>
      <xdr:nvPicPr>
        <xdr:cNvPr id="5" name="Graphic 4" descr="Rating Star with solid fill">
          <a:extLst>
            <a:ext uri="{FF2B5EF4-FFF2-40B4-BE49-F238E27FC236}">
              <a16:creationId xmlns:a16="http://schemas.microsoft.com/office/drawing/2014/main" id="{48A9D837-FA97-4D00-B0E7-61E53E80B14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71646" y="4996407"/>
          <a:ext cx="385822" cy="401541"/>
        </a:xfrm>
        <a:prstGeom prst="rect">
          <a:avLst/>
        </a:prstGeom>
      </xdr:spPr>
    </xdr:pic>
    <xdr:clientData/>
  </xdr:twoCellAnchor>
  <xdr:twoCellAnchor editAs="oneCell">
    <xdr:from>
      <xdr:col>2</xdr:col>
      <xdr:colOff>4260</xdr:colOff>
      <xdr:row>35</xdr:row>
      <xdr:rowOff>154329</xdr:rowOff>
    </xdr:from>
    <xdr:to>
      <xdr:col>2</xdr:col>
      <xdr:colOff>276886</xdr:colOff>
      <xdr:row>36</xdr:row>
      <xdr:rowOff>213808</xdr:rowOff>
    </xdr:to>
    <xdr:pic>
      <xdr:nvPicPr>
        <xdr:cNvPr id="9" name="Graphic 8" descr="Star-struck face outline with solid fill">
          <a:extLst>
            <a:ext uri="{FF2B5EF4-FFF2-40B4-BE49-F238E27FC236}">
              <a16:creationId xmlns:a16="http://schemas.microsoft.com/office/drawing/2014/main" id="{4CB71184-13B3-47D4-9DCA-976259AAF51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8032" y="6568633"/>
          <a:ext cx="272626" cy="299011"/>
        </a:xfrm>
        <a:prstGeom prst="rect">
          <a:avLst/>
        </a:prstGeom>
      </xdr:spPr>
    </xdr:pic>
    <xdr:clientData/>
  </xdr:twoCellAnchor>
  <xdr:twoCellAnchor editAs="oneCell">
    <xdr:from>
      <xdr:col>17</xdr:col>
      <xdr:colOff>77305</xdr:colOff>
      <xdr:row>3</xdr:row>
      <xdr:rowOff>113943</xdr:rowOff>
    </xdr:from>
    <xdr:to>
      <xdr:col>19</xdr:col>
      <xdr:colOff>358444</xdr:colOff>
      <xdr:row>14</xdr:row>
      <xdr:rowOff>44174</xdr:rowOff>
    </xdr:to>
    <mc:AlternateContent xmlns:mc="http://schemas.openxmlformats.org/markup-compatibility/2006" xmlns:a14="http://schemas.microsoft.com/office/drawing/2010/main">
      <mc:Choice Requires="a14">
        <xdr:graphicFrame macro="">
          <xdr:nvGraphicFramePr>
            <xdr:cNvPr id="14" name="Representative 1">
              <a:extLst>
                <a:ext uri="{FF2B5EF4-FFF2-40B4-BE49-F238E27FC236}">
                  <a16:creationId xmlns:a16="http://schemas.microsoft.com/office/drawing/2014/main" id="{DB548A1C-37D2-4987-A34B-66BF87CA1B85}"/>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9919805" y="1180743"/>
              <a:ext cx="1500339" cy="1886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491925</xdr:colOff>
      <xdr:row>1</xdr:row>
      <xdr:rowOff>113732</xdr:rowOff>
    </xdr:from>
    <xdr:to>
      <xdr:col>14</xdr:col>
      <xdr:colOff>231913</xdr:colOff>
      <xdr:row>17</xdr:row>
      <xdr:rowOff>154609</xdr:rowOff>
    </xdr:to>
    <xdr:graphicFrame macro="">
      <xdr:nvGraphicFramePr>
        <xdr:cNvPr id="15" name="Chart 14">
          <a:extLst>
            <a:ext uri="{FF2B5EF4-FFF2-40B4-BE49-F238E27FC236}">
              <a16:creationId xmlns:a16="http://schemas.microsoft.com/office/drawing/2014/main" id="{0826FEEC-675D-4C15-93DA-085451954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88349</xdr:colOff>
      <xdr:row>1</xdr:row>
      <xdr:rowOff>88348</xdr:rowOff>
    </xdr:from>
    <xdr:to>
      <xdr:col>17</xdr:col>
      <xdr:colOff>33131</xdr:colOff>
      <xdr:row>17</xdr:row>
      <xdr:rowOff>176696</xdr:rowOff>
    </xdr:to>
    <xdr:graphicFrame macro="">
      <xdr:nvGraphicFramePr>
        <xdr:cNvPr id="11" name="Chart 10">
          <a:extLst>
            <a:ext uri="{FF2B5EF4-FFF2-40B4-BE49-F238E27FC236}">
              <a16:creationId xmlns:a16="http://schemas.microsoft.com/office/drawing/2014/main" id="{512AA2A6-3C23-45A3-8B26-47C2AA5D8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331304</xdr:colOff>
      <xdr:row>19</xdr:row>
      <xdr:rowOff>165654</xdr:rowOff>
    </xdr:from>
    <xdr:to>
      <xdr:col>12</xdr:col>
      <xdr:colOff>519043</xdr:colOff>
      <xdr:row>40</xdr:row>
      <xdr:rowOff>11044</xdr:rowOff>
    </xdr:to>
    <xdr:graphicFrame macro="">
      <xdr:nvGraphicFramePr>
        <xdr:cNvPr id="12" name="Chart 11">
          <a:extLst>
            <a:ext uri="{FF2B5EF4-FFF2-40B4-BE49-F238E27FC236}">
              <a16:creationId xmlns:a16="http://schemas.microsoft.com/office/drawing/2014/main" id="{17680759-CD1E-4840-A4AD-C1D1F4F89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187739</xdr:colOff>
      <xdr:row>19</xdr:row>
      <xdr:rowOff>154610</xdr:rowOff>
    </xdr:from>
    <xdr:to>
      <xdr:col>19</xdr:col>
      <xdr:colOff>187739</xdr:colOff>
      <xdr:row>40</xdr:row>
      <xdr:rowOff>0</xdr:rowOff>
    </xdr:to>
    <xdr:graphicFrame macro="">
      <xdr:nvGraphicFramePr>
        <xdr:cNvPr id="16" name="Chart 15">
          <a:extLst>
            <a:ext uri="{FF2B5EF4-FFF2-40B4-BE49-F238E27FC236}">
              <a16:creationId xmlns:a16="http://schemas.microsoft.com/office/drawing/2014/main" id="{BC451D24-E7DC-4843-AF28-E3EE4983F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397567</xdr:colOff>
      <xdr:row>0</xdr:row>
      <xdr:rowOff>441740</xdr:rowOff>
    </xdr:from>
    <xdr:to>
      <xdr:col>25</xdr:col>
      <xdr:colOff>342349</xdr:colOff>
      <xdr:row>19</xdr:row>
      <xdr:rowOff>143566</xdr:rowOff>
    </xdr:to>
    <xdr:graphicFrame macro="">
      <xdr:nvGraphicFramePr>
        <xdr:cNvPr id="13" name="Chart 12">
          <a:extLst>
            <a:ext uri="{FF2B5EF4-FFF2-40B4-BE49-F238E27FC236}">
              <a16:creationId xmlns:a16="http://schemas.microsoft.com/office/drawing/2014/main" id="{E51F229A-5227-4ED7-AFD6-CD2E5A82E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342347</xdr:colOff>
      <xdr:row>0</xdr:row>
      <xdr:rowOff>508000</xdr:rowOff>
    </xdr:from>
    <xdr:to>
      <xdr:col>29</xdr:col>
      <xdr:colOff>574261</xdr:colOff>
      <xdr:row>19</xdr:row>
      <xdr:rowOff>154609</xdr:rowOff>
    </xdr:to>
    <xdr:graphicFrame macro="">
      <xdr:nvGraphicFramePr>
        <xdr:cNvPr id="17" name="Chart 16">
          <a:extLst>
            <a:ext uri="{FF2B5EF4-FFF2-40B4-BE49-F238E27FC236}">
              <a16:creationId xmlns:a16="http://schemas.microsoft.com/office/drawing/2014/main" id="{3335E359-8AC6-4C07-ADB6-FFC567A49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690192245369" backgroundQuery="1" createdVersion="8" refreshedVersion="8" minRefreshableVersion="3" recordCount="0" supportSubquery="1" supportAdvancedDrill="1" xr:uid="{12B61C3E-8695-40EB-BC8A-F12757234E7F}">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s Count]" caption="Calls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4.735785300923" backgroundQuery="1" createdVersion="8" refreshedVersion="8" minRefreshableVersion="3" recordCount="0" supportSubquery="1" supportAdvancedDrill="1" xr:uid="{29B3D853-39E7-457C-9FBF-153FAFAF3A2B}">
  <cacheSource type="external" connectionId="1"/>
  <cacheFields count="5">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487943981483" backgroundQuery="1" createdVersion="8" refreshedVersion="8" minRefreshableVersion="3" recordCount="0" supportSubquery="1" supportAdvancedDrill="1" xr:uid="{2A15D63D-A694-41D0-998E-4AD01EDFCC4C}">
  <cacheSource type="external" connectionId="1"/>
  <cacheFields count="3">
    <cacheField name="[calls].[Representative].[Representative]" caption="Representative" numFmtId="0" hierarchy="3" level="1">
      <sharedItems count="5">
        <s v="R01"/>
        <s v="R02"/>
        <s v="R03"/>
        <s v="R04"/>
        <s v="R05"/>
      </sharedItems>
    </cacheField>
    <cacheField name="[Measures].[Calls Count]" caption="Calls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719618518517" backgroundQuery="1" createdVersion="8" refreshedVersion="8" minRefreshableVersion="3" recordCount="0" supportSubquery="1" supportAdvancedDrill="1" xr:uid="{5F1C7BDC-B34A-45D0-B100-3BAE48637451}">
  <cacheSource type="external" connectionId="1"/>
  <cacheFields count="4">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74985659722" backgroundQuery="1" createdVersion="8" refreshedVersion="8" minRefreshableVersion="3" recordCount="0" supportSubquery="1" supportAdvancedDrill="1" xr:uid="{092BF6B0-DF85-468B-AA99-F8B02C7C5503}">
  <cacheSource type="external" connectionId="1"/>
  <cacheFields count="6">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calls].[Representative].[Representative]" caption="Representative" numFmtId="0" hierarchy="3" level="1">
      <sharedItems containsSemiMixedTypes="0" containsNonDate="0" containsString="0"/>
    </cacheField>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5"/>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749857175928" backgroundQuery="1" createdVersion="8" refreshedVersion="8" minRefreshableVersion="3" recordCount="0" supportSubquery="1" supportAdvancedDrill="1" xr:uid="{F1173EE1-F7A9-4F54-89AE-77523F01538D}">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s Count]" caption="Calls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74985763889" backgroundQuery="1" createdVersion="8" refreshedVersion="8" minRefreshableVersion="3" recordCount="0" supportSubquery="1" supportAdvancedDrill="1" xr:uid="{CF70041A-D0ED-4A28-891C-5AD7621053BD}">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74985821759" backgroundQuery="1" createdVersion="8" refreshedVersion="8" minRefreshableVersion="3" recordCount="0" supportSubquery="1" supportAdvancedDrill="1" xr:uid="{22130AE3-7110-4A88-8037-0607DF82B65D}">
  <cacheSource type="external" connectionId="1"/>
  <cacheFields count="1">
    <cacheField name="[calls].[Representative].[Representative]" caption="Representative" numFmtId="0" hierarchy="3" level="1">
      <sharedItems count="1">
        <s v="R02"/>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749858564814" backgroundQuery="1" createdVersion="8" refreshedVersion="8" minRefreshableVersion="3" recordCount="0" supportSubquery="1" supportAdvancedDrill="1" xr:uid="{9FF8EB5B-BFE4-4A28-B25A-26B8FE500FA3}">
  <cacheSource type="external" connectionId="1"/>
  <cacheFields count="3">
    <cacheField name="[Measures].[Calls Count]" caption="Calls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4.73577939815" backgroundQuery="1" createdVersion="3" refreshedVersion="8" minRefreshableVersion="3" recordCount="0" supportSubquery="1" supportAdvancedDrill="1" xr:uid="{4F2327D5-12AF-44D5-90DD-65433D49BC0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095051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A97DA4-2CC0-497F-A7FC-54907FE1799D}" name="rep. pivot" cacheId="56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C5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64BE47-4297-407B-89E7-41E53FDA4472}" name="rep amounts" cacheId="567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E100:K119"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1"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C194A6-18C0-4617-9FF3-FEA420050873}" name="rep satisfaction" cacheId="56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87:F9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DED387-A383-4AC4-8B60-DC8216A7A6C8}" name="weekly trend" cacheId="56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3">
  <location ref="I27:J3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formats count="3">
    <format dxfId="29">
      <pivotArea dataOnly="0" labelOnly="1" outline="0" axis="axisValues" fieldPosition="0"/>
    </format>
    <format dxfId="30">
      <pivotArea dataOnly="0" labelOnly="1" outline="0" axis="axisValues" fieldPosition="0"/>
    </format>
    <format dxfId="31">
      <pivotArea dataOnly="0" outline="0" axis="axisValues" fieldPosition="0"/>
    </format>
  </formats>
  <chartFormats count="2">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4B94E3-765C-433E-9CEF-7E0E9F00903F}" name="Monthly trend" cacheId="56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26:C3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s Count2" fld="4" subtotal="count" baseField="0" baseItem="0">
      <extLst>
        <ext xmlns:x14="http://schemas.microsoft.com/office/spreadsheetml/2009/9/main" uri="{E15A36E0-9728-4e99-A89B-3F7291B0FE68}">
          <x14:dataField sourceField="3" uniqueName="[__Xl2].[Measures].[Calls Count]"/>
        </ext>
      </extLst>
    </dataField>
  </dataFields>
  <formats count="3">
    <format dxfId="26">
      <pivotArea dataOnly="0" labelOnly="1" outline="0" axis="axisValues" fieldPosition="0"/>
    </format>
    <format dxfId="27">
      <pivotArea dataOnly="0" labelOnly="1" outline="0" axis="axisValues" fieldPosition="0"/>
    </format>
    <format dxfId="28">
      <pivotArea dataOnly="0" outline="0" axis="axisValues" fieldPosition="0"/>
    </format>
  </formats>
  <chartFormats count="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1"/>
          </reference>
        </references>
      </pivotArea>
    </chartFormat>
    <chartFormat chart="16"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A99894-4BB5-4479-BFF4-B2BBE8D4AD29}" name="rep pivot" cacheId="56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5" subtotal="count" baseField="0" baseItem="0"/>
  </dataFields>
  <formats count="3">
    <format dxfId="23">
      <pivotArea dataOnly="0" labelOnly="1" outline="0" axis="axisValues" fieldPosition="0"/>
    </format>
    <format dxfId="24">
      <pivotArea dataOnly="0" labelOnly="1" outline="0" axis="axisValues" fieldPosition="0"/>
    </format>
    <format dxfId="25">
      <pivotArea dataOnly="0" outline="0" axis="axisValues" fieldPosition="0"/>
    </format>
  </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710E46-C37E-423B-A217-F81F11541900}" name="summary pivot" cacheId="56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3">
    <format dxfId="20">
      <pivotArea dataOnly="0" labelOnly="1" outline="0" axis="axisValues" fieldPosition="0"/>
    </format>
    <format dxfId="21">
      <pivotArea dataOnly="0" labelOnly="1" outline="0" axis="axisValues" fieldPosition="0"/>
    </format>
    <format dxfId="22">
      <pivotArea dataOnly="0" outline="0" axis="axisValues"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648204-8DC9-4007-9A23-B897A2AA8B50}" name="PivotTable1" cacheId="56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67:H72"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4">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669F4F-9481-4D76-BF7B-96F7955A9150}" name="selected rep" cacheId="56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A6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3B8BD0E-F8EA-4581-A707-855CDCDFFD4F}" sourceName="[calls].[Representative]">
  <pivotTables>
    <pivotTable tabId="6" name="rep pivot"/>
    <pivotTable tabId="6" name="Monthly trend"/>
    <pivotTable tabId="6" name="weekly trend"/>
    <pivotTable tabId="6" name="selected rep"/>
    <pivotTable tabId="6" name="rep satisfaction"/>
  </pivotTables>
  <data>
    <olap pivotCacheId="210950512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94146EF-3BDC-4617-B237-A0EC78212CF6}"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9B1ACDEB-7996-43F3-8586-BA33AC072981}" cache="Slicer_Representative" caption="Representative" level="1"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9"/>
    <tableColumn id="5" xr3:uid="{5A35565E-8707-4DED-AD15-A0669D67B382}" name="Date of Call" dataDxfId="18"/>
    <tableColumn id="6" xr3:uid="{F2E4F158-B41F-47BC-8DF8-DFCADFEE4E40}" name="Purchase Amount"/>
    <tableColumn id="7" xr3:uid="{04B291B5-47BD-4F78-8FD8-D1551CCA6BD9}" name="Satisfaction Rating"/>
    <tableColumn id="8" xr3:uid="{6E4123C0-0B17-43B8-A142-A1E540CE974C}" name="FY" dataDxfId="17">
      <calculatedColumnFormula>IF(MONTH(calls[[#This Row],[Date of Call]])&lt;=6, YEAR(calls[[#This Row],[Date of Call]]), YEAR(calls[[#This Row],[Date of Call]])+1)</calculatedColumnFormula>
    </tableColumn>
    <tableColumn id="9" xr3:uid="{199FA271-5E9B-46CE-9BC6-2801F92CD17E}" name="Day of week" dataDxfId="16">
      <calculatedColumnFormula>TEXT(calls[[#This Row],[Date of Call]],"DDDD")</calculatedColumnFormula>
    </tableColumn>
    <tableColumn id="10" xr3:uid="{328CDB09-95B8-4D5E-9ED9-EF0D363735A1}" name="Duration Bucket" dataDxfId="1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P3:S18" totalsRowShown="0" headerRowDxfId="13" headerRowBorderDxfId="11" tableBorderDxfId="12" totalsRowBorderDxfId="10">
  <autoFilter ref="P3:S18" xr:uid="{27158F51-A707-4171-8A04-81FB0AABCBA5}"/>
  <tableColumns count="4">
    <tableColumn id="1" xr3:uid="{02688061-6A8C-4E23-B7FF-D00CD8B58CAC}" name="Customer ID" dataDxfId="9"/>
    <tableColumn id="2" xr3:uid="{771678B6-DB44-426B-9874-B4E421A440D5}" name="Gedner" dataDxfId="8"/>
    <tableColumn id="3" xr3:uid="{B0D41C62-587E-494D-B49A-603F2C05F8D3}" name="Age" dataDxfId="7"/>
    <tableColumn id="4" xr3:uid="{663F92D6-FE31-4D81-9E01-8D066DDC8A88}" name="City"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Custom 1">
      <a:majorFont>
        <a:latin typeface="Impact"/>
        <a:ea typeface=""/>
        <a:cs typeface=""/>
      </a:majorFont>
      <a:minorFont>
        <a:latin typeface="Calibri"/>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1D774-ACAE-4735-BB6C-4789D89D1DD5}">
  <dimension ref="A3:R119"/>
  <sheetViews>
    <sheetView topLeftCell="A82" zoomScale="80" workbookViewId="0">
      <selection activeCell="P104" sqref="P104"/>
    </sheetView>
  </sheetViews>
  <sheetFormatPr defaultRowHeight="14.45"/>
  <cols>
    <col min="1" max="1" width="13.28515625" bestFit="1" customWidth="1"/>
    <col min="2" max="2" width="10.5703125" bestFit="1" customWidth="1"/>
    <col min="3" max="3" width="11.5703125" bestFit="1" customWidth="1"/>
    <col min="4" max="4" width="14" bestFit="1" customWidth="1"/>
    <col min="5" max="5" width="13.28515625" bestFit="1" customWidth="1"/>
    <col min="6" max="6" width="10.5703125" bestFit="1" customWidth="1"/>
    <col min="7" max="8" width="6.42578125" bestFit="1" customWidth="1"/>
    <col min="9" max="9" width="13.28515625" bestFit="1" customWidth="1"/>
    <col min="10" max="10" width="6.140625" bestFit="1" customWidth="1"/>
    <col min="11" max="11" width="11" bestFit="1" customWidth="1"/>
    <col min="17" max="17" width="16.140625" customWidth="1"/>
  </cols>
  <sheetData>
    <row r="3" spans="1:5">
      <c r="A3" t="s">
        <v>0</v>
      </c>
      <c r="B3" t="s">
        <v>1</v>
      </c>
      <c r="C3" t="s">
        <v>2</v>
      </c>
      <c r="D3" t="s">
        <v>3</v>
      </c>
      <c r="E3" t="s">
        <v>4</v>
      </c>
    </row>
    <row r="4" spans="1:5">
      <c r="A4" s="21">
        <v>1000</v>
      </c>
      <c r="B4" s="22">
        <v>96623</v>
      </c>
      <c r="C4" s="23">
        <v>89850</v>
      </c>
      <c r="D4" s="24">
        <v>3.8854000000000033</v>
      </c>
      <c r="E4" s="21">
        <v>307</v>
      </c>
    </row>
    <row r="9" spans="1:5">
      <c r="A9" t="s">
        <v>0</v>
      </c>
      <c r="B9" t="s">
        <v>1</v>
      </c>
      <c r="C9" t="s">
        <v>2</v>
      </c>
      <c r="D9" t="s">
        <v>3</v>
      </c>
      <c r="E9" t="s">
        <v>4</v>
      </c>
    </row>
    <row r="10" spans="1:5">
      <c r="A10" s="21">
        <v>218</v>
      </c>
      <c r="B10" s="22">
        <v>20581</v>
      </c>
      <c r="C10" s="23">
        <v>19300</v>
      </c>
      <c r="D10" s="24">
        <v>3.8706422018348627</v>
      </c>
      <c r="E10" s="21">
        <v>74</v>
      </c>
    </row>
    <row r="26" spans="1:10">
      <c r="A26" s="28" t="s">
        <v>5</v>
      </c>
      <c r="B26" t="s">
        <v>0</v>
      </c>
      <c r="C26" t="s">
        <v>6</v>
      </c>
    </row>
    <row r="27" spans="1:10" ht="28.9">
      <c r="A27" s="29" t="s">
        <v>7</v>
      </c>
      <c r="B27" s="21">
        <v>19</v>
      </c>
      <c r="C27" s="21">
        <v>19</v>
      </c>
      <c r="I27" s="28" t="s">
        <v>5</v>
      </c>
      <c r="J27" s="31" t="s">
        <v>0</v>
      </c>
    </row>
    <row r="28" spans="1:10">
      <c r="A28" s="29" t="s">
        <v>8</v>
      </c>
      <c r="B28" s="21">
        <v>10</v>
      </c>
      <c r="C28" s="21">
        <v>10</v>
      </c>
      <c r="I28" s="29" t="s">
        <v>9</v>
      </c>
      <c r="J28" s="30">
        <v>28</v>
      </c>
    </row>
    <row r="29" spans="1:10">
      <c r="A29" s="29" t="s">
        <v>10</v>
      </c>
      <c r="B29" s="21">
        <v>40</v>
      </c>
      <c r="C29" s="21">
        <v>40</v>
      </c>
      <c r="I29" s="29" t="s">
        <v>11</v>
      </c>
      <c r="J29" s="30">
        <v>24</v>
      </c>
    </row>
    <row r="30" spans="1:10">
      <c r="A30" s="29" t="s">
        <v>12</v>
      </c>
      <c r="B30" s="21">
        <v>40</v>
      </c>
      <c r="C30" s="21">
        <v>40</v>
      </c>
      <c r="I30" s="29" t="s">
        <v>13</v>
      </c>
      <c r="J30" s="30">
        <v>44</v>
      </c>
    </row>
    <row r="31" spans="1:10">
      <c r="A31" s="29" t="s">
        <v>14</v>
      </c>
      <c r="B31" s="21">
        <v>13</v>
      </c>
      <c r="C31" s="21">
        <v>13</v>
      </c>
      <c r="I31" s="29" t="s">
        <v>15</v>
      </c>
      <c r="J31" s="30">
        <v>36</v>
      </c>
    </row>
    <row r="32" spans="1:10">
      <c r="A32" s="29" t="s">
        <v>16</v>
      </c>
      <c r="B32" s="21">
        <v>12</v>
      </c>
      <c r="C32" s="21">
        <v>12</v>
      </c>
      <c r="I32" s="29" t="s">
        <v>17</v>
      </c>
      <c r="J32" s="30">
        <v>33</v>
      </c>
    </row>
    <row r="33" spans="1:10">
      <c r="A33" s="29" t="s">
        <v>18</v>
      </c>
      <c r="B33" s="21">
        <v>9</v>
      </c>
      <c r="C33" s="21">
        <v>9</v>
      </c>
      <c r="I33" s="29" t="s">
        <v>19</v>
      </c>
      <c r="J33" s="30">
        <v>29</v>
      </c>
    </row>
    <row r="34" spans="1:10">
      <c r="A34" s="29" t="s">
        <v>20</v>
      </c>
      <c r="B34" s="21">
        <v>13</v>
      </c>
      <c r="C34" s="21">
        <v>13</v>
      </c>
      <c r="I34" s="29" t="s">
        <v>21</v>
      </c>
      <c r="J34" s="30">
        <v>24</v>
      </c>
    </row>
    <row r="35" spans="1:10">
      <c r="A35" s="29" t="s">
        <v>22</v>
      </c>
      <c r="B35" s="21">
        <v>18</v>
      </c>
      <c r="C35" s="21">
        <v>18</v>
      </c>
      <c r="I35" s="29" t="s">
        <v>23</v>
      </c>
      <c r="J35" s="30">
        <v>218</v>
      </c>
    </row>
    <row r="36" spans="1:10">
      <c r="A36" s="29" t="s">
        <v>24</v>
      </c>
      <c r="B36" s="21">
        <v>21</v>
      </c>
      <c r="C36" s="21">
        <v>21</v>
      </c>
    </row>
    <row r="37" spans="1:10">
      <c r="A37" s="29" t="s">
        <v>25</v>
      </c>
      <c r="B37" s="21">
        <v>14</v>
      </c>
      <c r="C37" s="21">
        <v>14</v>
      </c>
    </row>
    <row r="38" spans="1:10">
      <c r="A38" s="29" t="s">
        <v>26</v>
      </c>
      <c r="B38" s="21">
        <v>9</v>
      </c>
      <c r="C38" s="21">
        <v>9</v>
      </c>
    </row>
    <row r="39" spans="1:10">
      <c r="A39" s="29" t="s">
        <v>23</v>
      </c>
      <c r="B39" s="21">
        <v>218</v>
      </c>
      <c r="C39" s="21">
        <v>218</v>
      </c>
    </row>
    <row r="44" spans="1:10">
      <c r="H44" t="s">
        <v>27</v>
      </c>
      <c r="I44" t="str">
        <f>A60</f>
        <v>R02</v>
      </c>
    </row>
    <row r="45" spans="1:10">
      <c r="F45" t="s">
        <v>28</v>
      </c>
    </row>
    <row r="46" spans="1:10">
      <c r="A46" s="28" t="s">
        <v>5</v>
      </c>
      <c r="B46" t="s">
        <v>0</v>
      </c>
      <c r="C46" t="s">
        <v>1</v>
      </c>
      <c r="F46" t="s">
        <v>29</v>
      </c>
      <c r="G46" t="s">
        <v>30</v>
      </c>
      <c r="H46" t="s">
        <v>31</v>
      </c>
      <c r="I46" t="s">
        <v>32</v>
      </c>
      <c r="J46" t="s">
        <v>33</v>
      </c>
    </row>
    <row r="47" spans="1:10">
      <c r="A47" s="29" t="s">
        <v>34</v>
      </c>
      <c r="B47" s="30">
        <v>189</v>
      </c>
      <c r="C47" s="32">
        <v>18415</v>
      </c>
      <c r="F47" t="str" cm="1">
        <f t="array" ref="F47:H51">A47:C51</f>
        <v>R01</v>
      </c>
      <c r="G47">
        <v>189</v>
      </c>
      <c r="H47" s="33">
        <v>18415</v>
      </c>
      <c r="I47" t="e">
        <f>IF(F47=$I$44,G47,NA())</f>
        <v>#N/A</v>
      </c>
      <c r="J47" t="e">
        <f>IF(F47=$I$44,H47,NA())</f>
        <v>#N/A</v>
      </c>
    </row>
    <row r="48" spans="1:10">
      <c r="A48" s="29" t="s">
        <v>35</v>
      </c>
      <c r="B48" s="30">
        <v>218</v>
      </c>
      <c r="C48" s="32">
        <v>20581</v>
      </c>
      <c r="F48" t="str">
        <v>R02</v>
      </c>
      <c r="G48">
        <v>218</v>
      </c>
      <c r="H48" s="33">
        <v>20581</v>
      </c>
      <c r="I48">
        <f t="shared" ref="I48:I51" si="0">IF(F48=$I$44,G48,NA())</f>
        <v>218</v>
      </c>
      <c r="J48">
        <f t="shared" ref="J48:J51" si="1">IF(F48=$I$44,H48,NA())</f>
        <v>20581</v>
      </c>
    </row>
    <row r="49" spans="1:10">
      <c r="A49" s="29" t="s">
        <v>36</v>
      </c>
      <c r="B49" s="30">
        <v>207</v>
      </c>
      <c r="C49" s="32">
        <v>20872</v>
      </c>
      <c r="F49" t="str">
        <v>R03</v>
      </c>
      <c r="G49">
        <v>207</v>
      </c>
      <c r="H49" s="33">
        <v>20872</v>
      </c>
      <c r="I49" t="e">
        <f t="shared" si="0"/>
        <v>#N/A</v>
      </c>
      <c r="J49" t="e">
        <f t="shared" si="1"/>
        <v>#N/A</v>
      </c>
    </row>
    <row r="50" spans="1:10">
      <c r="A50" s="29" t="s">
        <v>37</v>
      </c>
      <c r="B50" s="30">
        <v>186</v>
      </c>
      <c r="C50" s="32">
        <v>16651</v>
      </c>
      <c r="F50" t="str">
        <v>R04</v>
      </c>
      <c r="G50">
        <v>186</v>
      </c>
      <c r="H50" s="33">
        <v>16651</v>
      </c>
      <c r="I50" t="e">
        <f t="shared" si="0"/>
        <v>#N/A</v>
      </c>
      <c r="J50" t="e">
        <f t="shared" si="1"/>
        <v>#N/A</v>
      </c>
    </row>
    <row r="51" spans="1:10">
      <c r="A51" s="29" t="s">
        <v>38</v>
      </c>
      <c r="B51" s="30">
        <v>200</v>
      </c>
      <c r="C51" s="32">
        <v>20104</v>
      </c>
      <c r="F51" t="str">
        <v>R05</v>
      </c>
      <c r="G51">
        <v>200</v>
      </c>
      <c r="H51" s="33">
        <v>20104</v>
      </c>
      <c r="I51" t="e">
        <f t="shared" si="0"/>
        <v>#N/A</v>
      </c>
      <c r="J51" t="e">
        <f t="shared" si="1"/>
        <v>#N/A</v>
      </c>
    </row>
    <row r="52" spans="1:10">
      <c r="A52" s="29" t="s">
        <v>23</v>
      </c>
      <c r="B52" s="30">
        <v>1000</v>
      </c>
      <c r="C52" s="32">
        <v>96623</v>
      </c>
    </row>
    <row r="59" spans="1:10">
      <c r="A59" s="28" t="s">
        <v>5</v>
      </c>
    </row>
    <row r="60" spans="1:10">
      <c r="A60" s="29" t="s">
        <v>35</v>
      </c>
    </row>
    <row r="61" spans="1:10">
      <c r="A61" s="29" t="s">
        <v>23</v>
      </c>
    </row>
    <row r="67" spans="5:8">
      <c r="E67" s="28" t="s">
        <v>0</v>
      </c>
      <c r="F67" s="28" t="s">
        <v>39</v>
      </c>
    </row>
    <row r="68" spans="5:8">
      <c r="E68" s="28" t="s">
        <v>5</v>
      </c>
      <c r="F68" t="s">
        <v>40</v>
      </c>
      <c r="G68" t="s">
        <v>41</v>
      </c>
      <c r="H68" t="s">
        <v>23</v>
      </c>
    </row>
    <row r="69" spans="5:8">
      <c r="E69" s="29" t="s">
        <v>42</v>
      </c>
      <c r="F69" s="30">
        <v>144</v>
      </c>
      <c r="G69" s="30">
        <v>132</v>
      </c>
      <c r="H69" s="30">
        <v>276</v>
      </c>
    </row>
    <row r="70" spans="5:8">
      <c r="E70" s="29" t="s">
        <v>43</v>
      </c>
      <c r="F70" s="30">
        <v>326</v>
      </c>
      <c r="G70" s="30">
        <v>63</v>
      </c>
      <c r="H70" s="30">
        <v>389</v>
      </c>
    </row>
    <row r="71" spans="5:8">
      <c r="E71" s="29" t="s">
        <v>44</v>
      </c>
      <c r="F71" s="30">
        <v>129</v>
      </c>
      <c r="G71" s="30">
        <v>206</v>
      </c>
      <c r="H71" s="30">
        <v>335</v>
      </c>
    </row>
    <row r="72" spans="5:8">
      <c r="E72" s="29" t="s">
        <v>23</v>
      </c>
      <c r="F72" s="30">
        <v>599</v>
      </c>
      <c r="G72" s="30">
        <v>401</v>
      </c>
      <c r="H72" s="30">
        <v>1000</v>
      </c>
    </row>
    <row r="87" spans="5:6">
      <c r="E87" s="28" t="s">
        <v>5</v>
      </c>
      <c r="F87" t="s">
        <v>0</v>
      </c>
    </row>
    <row r="88" spans="5:6">
      <c r="E88" s="29">
        <v>1</v>
      </c>
      <c r="F88" s="30">
        <v>3</v>
      </c>
    </row>
    <row r="89" spans="5:6">
      <c r="E89" s="29">
        <v>2</v>
      </c>
      <c r="F89" s="30">
        <v>19</v>
      </c>
    </row>
    <row r="90" spans="5:6">
      <c r="E90" s="29">
        <v>3</v>
      </c>
      <c r="F90" s="30">
        <v>35</v>
      </c>
    </row>
    <row r="91" spans="5:6">
      <c r="E91" s="29">
        <v>4</v>
      </c>
      <c r="F91" s="30">
        <v>87</v>
      </c>
    </row>
    <row r="92" spans="5:6">
      <c r="E92" s="29">
        <v>5</v>
      </c>
      <c r="F92" s="30">
        <v>74</v>
      </c>
    </row>
    <row r="93" spans="5:6">
      <c r="E93" s="29" t="s">
        <v>23</v>
      </c>
      <c r="F93" s="30">
        <v>218</v>
      </c>
    </row>
    <row r="100" spans="5:18">
      <c r="E100" s="28" t="s">
        <v>1</v>
      </c>
      <c r="F100" s="28" t="s">
        <v>39</v>
      </c>
    </row>
    <row r="101" spans="5:18">
      <c r="E101" s="28" t="s">
        <v>5</v>
      </c>
      <c r="F101" t="s">
        <v>34</v>
      </c>
      <c r="G101" t="s">
        <v>35</v>
      </c>
      <c r="H101" t="s">
        <v>36</v>
      </c>
      <c r="I101" t="s">
        <v>37</v>
      </c>
      <c r="J101" t="s">
        <v>38</v>
      </c>
      <c r="K101" t="s">
        <v>23</v>
      </c>
    </row>
    <row r="102" spans="5:18">
      <c r="E102" s="29" t="s">
        <v>42</v>
      </c>
      <c r="Q102" s="14"/>
    </row>
    <row r="103" spans="5:18">
      <c r="E103" s="34" t="s">
        <v>45</v>
      </c>
      <c r="F103" s="32">
        <v>891</v>
      </c>
      <c r="G103" s="32">
        <v>1332</v>
      </c>
      <c r="H103" s="32">
        <v>1282</v>
      </c>
      <c r="I103" s="32">
        <v>739</v>
      </c>
      <c r="J103" s="32">
        <v>560</v>
      </c>
      <c r="K103" s="32">
        <v>4804</v>
      </c>
      <c r="R103" s="49"/>
    </row>
    <row r="104" spans="5:18">
      <c r="E104" s="34" t="s">
        <v>46</v>
      </c>
      <c r="F104" s="32">
        <v>1991</v>
      </c>
      <c r="G104" s="32">
        <v>1886</v>
      </c>
      <c r="H104" s="32">
        <v>1206</v>
      </c>
      <c r="I104" s="32">
        <v>884</v>
      </c>
      <c r="J104" s="32">
        <v>1722</v>
      </c>
      <c r="K104" s="32">
        <v>7689</v>
      </c>
    </row>
    <row r="105" spans="5:18">
      <c r="E105" s="34" t="s">
        <v>47</v>
      </c>
      <c r="F105" s="32">
        <v>1163</v>
      </c>
      <c r="G105" s="32">
        <v>1180</v>
      </c>
      <c r="H105" s="32">
        <v>1616</v>
      </c>
      <c r="I105" s="32">
        <v>1043</v>
      </c>
      <c r="J105" s="32">
        <v>1747</v>
      </c>
      <c r="K105" s="32">
        <v>6749</v>
      </c>
    </row>
    <row r="106" spans="5:18">
      <c r="E106" s="34" t="s">
        <v>48</v>
      </c>
      <c r="F106" s="32">
        <v>1438</v>
      </c>
      <c r="G106" s="32">
        <v>1616</v>
      </c>
      <c r="H106" s="32">
        <v>866</v>
      </c>
      <c r="I106" s="32">
        <v>829</v>
      </c>
      <c r="J106" s="32">
        <v>2070</v>
      </c>
      <c r="K106" s="32">
        <v>6819</v>
      </c>
    </row>
    <row r="107" spans="5:18">
      <c r="E107" s="29" t="s">
        <v>43</v>
      </c>
    </row>
    <row r="108" spans="5:18">
      <c r="E108" s="34" t="s">
        <v>49</v>
      </c>
      <c r="F108" s="32">
        <v>1233</v>
      </c>
      <c r="G108" s="32">
        <v>223</v>
      </c>
      <c r="H108" s="32">
        <v>1680</v>
      </c>
      <c r="I108" s="32">
        <v>990</v>
      </c>
      <c r="J108" s="32">
        <v>1508</v>
      </c>
      <c r="K108" s="32">
        <v>5634</v>
      </c>
    </row>
    <row r="109" spans="5:18">
      <c r="E109" s="34" t="s">
        <v>50</v>
      </c>
      <c r="F109" s="32">
        <v>1598</v>
      </c>
      <c r="G109" s="32">
        <v>1907</v>
      </c>
      <c r="H109" s="32">
        <v>869</v>
      </c>
      <c r="I109" s="32">
        <v>1426</v>
      </c>
      <c r="J109" s="32">
        <v>1416</v>
      </c>
      <c r="K109" s="32">
        <v>7216</v>
      </c>
    </row>
    <row r="110" spans="5:18">
      <c r="E110" s="34" t="s">
        <v>51</v>
      </c>
      <c r="F110" s="32">
        <v>900</v>
      </c>
      <c r="G110" s="32">
        <v>1016</v>
      </c>
      <c r="H110" s="32">
        <v>960</v>
      </c>
      <c r="I110" s="32">
        <v>940</v>
      </c>
      <c r="J110" s="32">
        <v>1193</v>
      </c>
      <c r="K110" s="32">
        <v>5009</v>
      </c>
    </row>
    <row r="111" spans="5:18">
      <c r="E111" s="34" t="s">
        <v>52</v>
      </c>
      <c r="F111" s="32">
        <v>900</v>
      </c>
      <c r="G111" s="32">
        <v>1470</v>
      </c>
      <c r="H111" s="32">
        <v>1617</v>
      </c>
      <c r="I111" s="32">
        <v>1314</v>
      </c>
      <c r="J111" s="32">
        <v>941</v>
      </c>
      <c r="K111" s="32">
        <v>6242</v>
      </c>
    </row>
    <row r="112" spans="5:18">
      <c r="E112" s="34" t="s">
        <v>53</v>
      </c>
      <c r="F112" s="32">
        <v>1255</v>
      </c>
      <c r="G112" s="32">
        <v>516</v>
      </c>
      <c r="H112" s="32">
        <v>1874</v>
      </c>
      <c r="I112" s="32">
        <v>1863</v>
      </c>
      <c r="J112" s="32">
        <v>1722</v>
      </c>
      <c r="K112" s="32">
        <v>7230</v>
      </c>
    </row>
    <row r="113" spans="5:11">
      <c r="E113" s="34" t="s">
        <v>54</v>
      </c>
      <c r="F113" s="32">
        <v>1138</v>
      </c>
      <c r="G113" s="32">
        <v>1898</v>
      </c>
      <c r="H113" s="32">
        <v>1482</v>
      </c>
      <c r="I113" s="32">
        <v>846</v>
      </c>
      <c r="J113" s="32">
        <v>1154</v>
      </c>
      <c r="K113" s="32">
        <v>6518</v>
      </c>
    </row>
    <row r="114" spans="5:11">
      <c r="E114" s="29" t="s">
        <v>44</v>
      </c>
    </row>
    <row r="115" spans="5:11">
      <c r="E115" s="34" t="s">
        <v>55</v>
      </c>
      <c r="F115" s="32">
        <v>1655</v>
      </c>
      <c r="G115" s="32">
        <v>805</v>
      </c>
      <c r="H115" s="32">
        <v>2263</v>
      </c>
      <c r="I115" s="32">
        <v>987</v>
      </c>
      <c r="J115" s="32">
        <v>1075</v>
      </c>
      <c r="K115" s="32">
        <v>6785</v>
      </c>
    </row>
    <row r="116" spans="5:11">
      <c r="E116" s="34" t="s">
        <v>56</v>
      </c>
      <c r="F116" s="32">
        <v>1104</v>
      </c>
      <c r="G116" s="32">
        <v>2280</v>
      </c>
      <c r="H116" s="32">
        <v>1445</v>
      </c>
      <c r="I116" s="32">
        <v>1722</v>
      </c>
      <c r="J116" s="32">
        <v>1196</v>
      </c>
      <c r="K116" s="32">
        <v>7747</v>
      </c>
    </row>
    <row r="117" spans="5:11">
      <c r="E117" s="34" t="s">
        <v>57</v>
      </c>
      <c r="F117" s="32">
        <v>372</v>
      </c>
      <c r="G117" s="32">
        <v>1818</v>
      </c>
      <c r="H117" s="32">
        <v>1346</v>
      </c>
      <c r="I117" s="32">
        <v>1156</v>
      </c>
      <c r="J117" s="32">
        <v>1484</v>
      </c>
      <c r="K117" s="32">
        <v>6176</v>
      </c>
    </row>
    <row r="118" spans="5:11">
      <c r="E118" s="34" t="s">
        <v>58</v>
      </c>
      <c r="F118" s="32">
        <v>1415</v>
      </c>
      <c r="G118" s="32">
        <v>1271</v>
      </c>
      <c r="H118" s="32">
        <v>1214</v>
      </c>
      <c r="I118" s="32">
        <v>1135</v>
      </c>
      <c r="J118" s="32">
        <v>1566</v>
      </c>
      <c r="K118" s="32">
        <v>6601</v>
      </c>
    </row>
    <row r="119" spans="5:11">
      <c r="E119" s="34" t="s">
        <v>59</v>
      </c>
      <c r="F119" s="32">
        <v>1362</v>
      </c>
      <c r="G119" s="32">
        <v>1363</v>
      </c>
      <c r="H119" s="32">
        <v>1152</v>
      </c>
      <c r="I119" s="32">
        <v>777</v>
      </c>
      <c r="J119" s="32">
        <v>750</v>
      </c>
      <c r="K119" s="3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S1003"/>
  <sheetViews>
    <sheetView zoomScale="83" zoomScaleNormal="100" workbookViewId="0">
      <selection activeCell="C13" sqref="C13"/>
    </sheetView>
  </sheetViews>
  <sheetFormatPr defaultRowHeight="14.45"/>
  <cols>
    <col min="1" max="1" width="3.28515625" customWidth="1"/>
    <col min="2" max="2" width="14.7109375" customWidth="1"/>
    <col min="3" max="3" width="12.85546875" customWidth="1"/>
    <col min="4" max="4" width="16.7109375" customWidth="1"/>
    <col min="5" max="5" width="15" customWidth="1"/>
    <col min="6" max="6" width="16.140625" customWidth="1"/>
    <col min="7" max="7" width="17.28515625" customWidth="1"/>
    <col min="8" max="8" width="18.28515625" customWidth="1"/>
    <col min="9" max="9" width="17.28515625" customWidth="1"/>
    <col min="10" max="12" width="15.42578125" customWidth="1"/>
    <col min="13" max="15" width="7.42578125" customWidth="1"/>
    <col min="16" max="16" width="14.7109375" customWidth="1"/>
    <col min="19" max="19" width="10.7109375" customWidth="1"/>
  </cols>
  <sheetData>
    <row r="1" spans="2:19" s="4" customFormat="1" ht="48" customHeight="1">
      <c r="B1" s="5" t="s">
        <v>60</v>
      </c>
    </row>
    <row r="2" spans="2:19">
      <c r="Q2" s="1"/>
    </row>
    <row r="3" spans="2:19">
      <c r="B3" s="14" t="s">
        <v>61</v>
      </c>
      <c r="C3" s="14" t="s">
        <v>62</v>
      </c>
      <c r="D3" s="15" t="s">
        <v>63</v>
      </c>
      <c r="E3" s="16" t="s">
        <v>64</v>
      </c>
      <c r="F3" s="16" t="s">
        <v>65</v>
      </c>
      <c r="G3" s="14" t="s">
        <v>66</v>
      </c>
      <c r="H3" s="14" t="s">
        <v>67</v>
      </c>
      <c r="I3" t="s">
        <v>68</v>
      </c>
      <c r="J3" t="s">
        <v>69</v>
      </c>
      <c r="K3" t="s">
        <v>70</v>
      </c>
      <c r="L3" t="s">
        <v>71</v>
      </c>
      <c r="P3" s="8" t="s">
        <v>62</v>
      </c>
      <c r="Q3" s="9" t="s">
        <v>72</v>
      </c>
      <c r="R3" s="9" t="s">
        <v>73</v>
      </c>
      <c r="S3" s="10" t="s">
        <v>74</v>
      </c>
    </row>
    <row r="4" spans="2:19">
      <c r="B4" t="s">
        <v>75</v>
      </c>
      <c r="C4" t="s">
        <v>45</v>
      </c>
      <c r="D4">
        <v>116</v>
      </c>
      <c r="E4" s="17" t="s">
        <v>38</v>
      </c>
      <c r="F4" s="18">
        <v>45658</v>
      </c>
      <c r="G4">
        <v>128</v>
      </c>
      <c r="H4">
        <v>4.9000000000000004</v>
      </c>
      <c r="I4">
        <f>IF(MONTH(calls[[#This Row],[Date of Call]])&lt;=6, YEAR(calls[[#This Row],[Date of Call]]), YEAR(calls[[#This Row],[Date of Call]])+1)</f>
        <v>2025</v>
      </c>
      <c r="J4" t="str">
        <f>TEXT(calls[[#This Row],[Date of Call]],"DDDD")</f>
        <v>Wednesday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P4" s="6" t="s">
        <v>55</v>
      </c>
      <c r="Q4" s="3" t="s">
        <v>41</v>
      </c>
      <c r="R4" s="2">
        <v>41</v>
      </c>
      <c r="S4" s="7" t="s">
        <v>44</v>
      </c>
    </row>
    <row r="5" spans="2:19">
      <c r="B5" t="s">
        <v>76</v>
      </c>
      <c r="C5" t="s">
        <v>46</v>
      </c>
      <c r="D5">
        <v>119</v>
      </c>
      <c r="E5" s="17" t="s">
        <v>38</v>
      </c>
      <c r="F5" s="18">
        <v>45658</v>
      </c>
      <c r="G5">
        <v>135</v>
      </c>
      <c r="H5">
        <v>2.9</v>
      </c>
      <c r="I5">
        <f>IF(MONTH(calls[[#This Row],[Date of Call]])&lt;=6, YEAR(calls[[#This Row],[Date of Call]]), YEAR(calls[[#This Row],[Date of Call]])+1)</f>
        <v>2025</v>
      </c>
      <c r="J5" t="str">
        <f>TEXT(calls[[#This Row],[Date of Call]],"DDDD")</f>
        <v>Wednesday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P5" s="6" t="s">
        <v>49</v>
      </c>
      <c r="Q5" s="3" t="s">
        <v>41</v>
      </c>
      <c r="R5" s="2">
        <v>31</v>
      </c>
      <c r="S5" s="7" t="s">
        <v>43</v>
      </c>
    </row>
    <row r="6" spans="2:19">
      <c r="B6" t="s">
        <v>77</v>
      </c>
      <c r="C6" t="s">
        <v>56</v>
      </c>
      <c r="D6">
        <v>68</v>
      </c>
      <c r="E6" s="17" t="s">
        <v>35</v>
      </c>
      <c r="F6" s="18">
        <v>45658</v>
      </c>
      <c r="G6">
        <v>66</v>
      </c>
      <c r="H6">
        <v>4.7</v>
      </c>
      <c r="I6">
        <f>IF(MONTH(calls[[#This Row],[Date of Call]])&lt;=6, YEAR(calls[[#This Row],[Date of Call]]), YEAR(calls[[#This Row],[Date of Call]])+1)</f>
        <v>2025</v>
      </c>
      <c r="J6" t="str">
        <f>TEXT(calls[[#This Row],[Date of Call]],"DDDD")</f>
        <v>Wednesday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P6" s="6" t="s">
        <v>45</v>
      </c>
      <c r="Q6" s="3" t="s">
        <v>41</v>
      </c>
      <c r="R6" s="2">
        <v>26</v>
      </c>
      <c r="S6" s="7" t="s">
        <v>42</v>
      </c>
    </row>
    <row r="7" spans="2:19">
      <c r="B7" t="s">
        <v>78</v>
      </c>
      <c r="C7" t="s">
        <v>59</v>
      </c>
      <c r="D7">
        <v>119</v>
      </c>
      <c r="E7" s="17" t="s">
        <v>35</v>
      </c>
      <c r="F7" s="18">
        <v>45658</v>
      </c>
      <c r="G7">
        <v>22</v>
      </c>
      <c r="H7">
        <v>2.9</v>
      </c>
      <c r="I7">
        <f>IF(MONTH(calls[[#This Row],[Date of Call]])&lt;=6, YEAR(calls[[#This Row],[Date of Call]]), YEAR(calls[[#This Row],[Date of Call]])+1)</f>
        <v>2025</v>
      </c>
      <c r="J7" t="str">
        <f>TEXT(calls[[#This Row],[Date of Call]],"DDDD")</f>
        <v>Wednesday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P7" s="6" t="s">
        <v>46</v>
      </c>
      <c r="Q7" s="3" t="s">
        <v>41</v>
      </c>
      <c r="R7" s="2">
        <v>36</v>
      </c>
      <c r="S7" s="7" t="s">
        <v>42</v>
      </c>
    </row>
    <row r="8" spans="2:19">
      <c r="B8" t="s">
        <v>79</v>
      </c>
      <c r="C8" t="s">
        <v>47</v>
      </c>
      <c r="D8">
        <v>128</v>
      </c>
      <c r="E8" s="17" t="s">
        <v>34</v>
      </c>
      <c r="F8" s="18">
        <v>45659</v>
      </c>
      <c r="G8">
        <v>31</v>
      </c>
      <c r="H8">
        <v>2.8</v>
      </c>
      <c r="I8">
        <f>IF(MONTH(calls[[#This Row],[Date of Call]])&lt;=6, YEAR(calls[[#This Row],[Date of Call]]), YEAR(calls[[#This Row],[Date of Call]])+1)</f>
        <v>2025</v>
      </c>
      <c r="J8" t="str">
        <f>TEXT(calls[[#This Row],[Date of Call]],"DDDD")</f>
        <v>Thursday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P8" s="6" t="s">
        <v>56</v>
      </c>
      <c r="Q8" s="3" t="s">
        <v>41</v>
      </c>
      <c r="R8" s="2">
        <v>37</v>
      </c>
      <c r="S8" s="7" t="s">
        <v>44</v>
      </c>
    </row>
    <row r="9" spans="2:19">
      <c r="B9" t="s">
        <v>80</v>
      </c>
      <c r="C9" t="s">
        <v>47</v>
      </c>
      <c r="D9">
        <v>49</v>
      </c>
      <c r="E9" s="17" t="s">
        <v>35</v>
      </c>
      <c r="F9" s="18">
        <v>45660</v>
      </c>
      <c r="G9">
        <v>135</v>
      </c>
      <c r="H9">
        <v>4.8</v>
      </c>
      <c r="I9">
        <f>IF(MONTH(calls[[#This Row],[Date of Call]])&lt;=6, YEAR(calls[[#This Row],[Date of Call]]), YEAR(calls[[#This Row],[Date of Call]])+1)</f>
        <v>2025</v>
      </c>
      <c r="J9" t="str">
        <f>TEXT(calls[[#This Row],[Date of Call]],"DDDD")</f>
        <v>Friday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P9" s="6" t="s">
        <v>57</v>
      </c>
      <c r="Q9" s="3" t="s">
        <v>41</v>
      </c>
      <c r="R9" s="2">
        <v>23</v>
      </c>
      <c r="S9" s="7" t="s">
        <v>44</v>
      </c>
    </row>
    <row r="10" spans="2:19">
      <c r="B10" t="s">
        <v>81</v>
      </c>
      <c r="C10" t="s">
        <v>50</v>
      </c>
      <c r="D10">
        <v>84</v>
      </c>
      <c r="E10" s="17" t="s">
        <v>38</v>
      </c>
      <c r="F10" s="18">
        <v>45660</v>
      </c>
      <c r="G10">
        <v>60</v>
      </c>
      <c r="H10">
        <v>4.7</v>
      </c>
      <c r="I10">
        <f>IF(MONTH(calls[[#This Row],[Date of Call]])&lt;=6, YEAR(calls[[#This Row],[Date of Call]]), YEAR(calls[[#This Row],[Date of Call]])+1)</f>
        <v>2025</v>
      </c>
      <c r="J10" t="str">
        <f>TEXT(calls[[#This Row],[Date of Call]],"DDDD")</f>
        <v>Friday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P10" s="6" t="s">
        <v>50</v>
      </c>
      <c r="Q10" s="3" t="s">
        <v>40</v>
      </c>
      <c r="R10" s="2">
        <v>22</v>
      </c>
      <c r="S10" s="7" t="s">
        <v>43</v>
      </c>
    </row>
    <row r="11" spans="2:19">
      <c r="B11" t="s">
        <v>82</v>
      </c>
      <c r="C11" t="s">
        <v>45</v>
      </c>
      <c r="D11">
        <v>103</v>
      </c>
      <c r="E11" s="17" t="s">
        <v>37</v>
      </c>
      <c r="F11" s="18">
        <v>45660</v>
      </c>
      <c r="G11">
        <v>148</v>
      </c>
      <c r="H11">
        <v>4.4000000000000004</v>
      </c>
      <c r="I11">
        <f>IF(MONTH(calls[[#This Row],[Date of Call]])&lt;=6, YEAR(calls[[#This Row],[Date of Call]]), YEAR(calls[[#This Row],[Date of Call]])+1)</f>
        <v>2025</v>
      </c>
      <c r="J11" t="str">
        <f>TEXT(calls[[#This Row],[Date of Call]],"DDDD")</f>
        <v>Friday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P11" s="6" t="s">
        <v>51</v>
      </c>
      <c r="Q11" s="3" t="s">
        <v>40</v>
      </c>
      <c r="R11" s="2">
        <v>42</v>
      </c>
      <c r="S11" s="7" t="s">
        <v>43</v>
      </c>
    </row>
    <row r="12" spans="2:19">
      <c r="B12" t="s">
        <v>83</v>
      </c>
      <c r="C12" t="s">
        <v>56</v>
      </c>
      <c r="D12">
        <v>31</v>
      </c>
      <c r="E12" s="17" t="s">
        <v>35</v>
      </c>
      <c r="F12" s="18">
        <v>45660</v>
      </c>
      <c r="G12">
        <v>135</v>
      </c>
      <c r="H12">
        <v>3.6</v>
      </c>
      <c r="I12">
        <f>IF(MONTH(calls[[#This Row],[Date of Call]])&lt;=6, YEAR(calls[[#This Row],[Date of Call]]), YEAR(calls[[#This Row],[Date of Call]])+1)</f>
        <v>2025</v>
      </c>
      <c r="J12" t="str">
        <f>TEXT(calls[[#This Row],[Date of Call]],"DDDD")</f>
        <v>Friday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P12" s="6" t="s">
        <v>58</v>
      </c>
      <c r="Q12" s="3" t="s">
        <v>40</v>
      </c>
      <c r="R12" s="2">
        <v>25</v>
      </c>
      <c r="S12" s="7" t="s">
        <v>44</v>
      </c>
    </row>
    <row r="13" spans="2:19">
      <c r="B13" t="s">
        <v>84</v>
      </c>
      <c r="C13" t="s">
        <v>52</v>
      </c>
      <c r="D13">
        <v>44</v>
      </c>
      <c r="E13" s="17" t="s">
        <v>36</v>
      </c>
      <c r="F13" s="18">
        <v>45660</v>
      </c>
      <c r="G13">
        <v>105</v>
      </c>
      <c r="H13">
        <v>2.9</v>
      </c>
      <c r="I13">
        <f>IF(MONTH(calls[[#This Row],[Date of Call]])&lt;=6, YEAR(calls[[#This Row],[Date of Call]]), YEAR(calls[[#This Row],[Date of Call]])+1)</f>
        <v>2025</v>
      </c>
      <c r="J13" t="str">
        <f>TEXT(calls[[#This Row],[Date of Call]],"DDDD")</f>
        <v>Friday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P13" s="6" t="s">
        <v>52</v>
      </c>
      <c r="Q13" s="3" t="s">
        <v>40</v>
      </c>
      <c r="R13" s="2">
        <v>30</v>
      </c>
      <c r="S13" s="7" t="s">
        <v>43</v>
      </c>
    </row>
    <row r="14" spans="2:19">
      <c r="B14" t="s">
        <v>85</v>
      </c>
      <c r="C14" t="s">
        <v>47</v>
      </c>
      <c r="D14">
        <v>102</v>
      </c>
      <c r="E14" s="17" t="s">
        <v>35</v>
      </c>
      <c r="F14" s="18">
        <v>45660</v>
      </c>
      <c r="G14">
        <v>69</v>
      </c>
      <c r="H14">
        <v>4.9000000000000004</v>
      </c>
      <c r="I14">
        <f>IF(MONTH(calls[[#This Row],[Date of Call]])&lt;=6, YEAR(calls[[#This Row],[Date of Call]]), YEAR(calls[[#This Row],[Date of Call]])+1)</f>
        <v>2025</v>
      </c>
      <c r="J14" t="str">
        <f>TEXT(calls[[#This Row],[Date of Call]],"DDDD")</f>
        <v>Friday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P14" s="6" t="s">
        <v>47</v>
      </c>
      <c r="Q14" s="3" t="s">
        <v>40</v>
      </c>
      <c r="R14" s="2">
        <v>30</v>
      </c>
      <c r="S14" s="7" t="s">
        <v>42</v>
      </c>
    </row>
    <row r="15" spans="2:19">
      <c r="B15" t="s">
        <v>86</v>
      </c>
      <c r="C15" t="s">
        <v>53</v>
      </c>
      <c r="D15">
        <v>135</v>
      </c>
      <c r="E15" s="17" t="s">
        <v>38</v>
      </c>
      <c r="F15" s="18">
        <v>45660</v>
      </c>
      <c r="G15">
        <v>46</v>
      </c>
      <c r="H15">
        <v>3.4</v>
      </c>
      <c r="I15">
        <f>IF(MONTH(calls[[#This Row],[Date of Call]])&lt;=6, YEAR(calls[[#This Row],[Date of Call]]), YEAR(calls[[#This Row],[Date of Call]])+1)</f>
        <v>2025</v>
      </c>
      <c r="J15" t="str">
        <f>TEXT(calls[[#This Row],[Date of Call]],"DDDD")</f>
        <v>Friday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P15" s="6" t="s">
        <v>48</v>
      </c>
      <c r="Q15" s="3" t="s">
        <v>40</v>
      </c>
      <c r="R15" s="2">
        <v>28</v>
      </c>
      <c r="S15" s="7" t="s">
        <v>42</v>
      </c>
    </row>
    <row r="16" spans="2:19">
      <c r="B16" t="s">
        <v>87</v>
      </c>
      <c r="C16" t="s">
        <v>49</v>
      </c>
      <c r="D16">
        <v>98</v>
      </c>
      <c r="E16" s="17" t="s">
        <v>35</v>
      </c>
      <c r="F16" s="18">
        <v>45661</v>
      </c>
      <c r="G16">
        <v>108</v>
      </c>
      <c r="H16">
        <v>3.5</v>
      </c>
      <c r="I16">
        <f>IF(MONTH(calls[[#This Row],[Date of Call]])&lt;=6, YEAR(calls[[#This Row],[Date of Call]]), YEAR(calls[[#This Row],[Date of Call]])+1)</f>
        <v>2025</v>
      </c>
      <c r="J16" t="str">
        <f>TEXT(calls[[#This Row],[Date of Call]],"DDDD")</f>
        <v>Saturday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P16" s="6" t="s">
        <v>53</v>
      </c>
      <c r="Q16" s="3" t="s">
        <v>40</v>
      </c>
      <c r="R16" s="2">
        <v>37</v>
      </c>
      <c r="S16" s="7" t="s">
        <v>43</v>
      </c>
    </row>
    <row r="17" spans="2:19">
      <c r="B17" t="s">
        <v>88</v>
      </c>
      <c r="C17" t="s">
        <v>52</v>
      </c>
      <c r="D17">
        <v>139</v>
      </c>
      <c r="E17" s="17" t="s">
        <v>35</v>
      </c>
      <c r="F17" s="18">
        <v>45661</v>
      </c>
      <c r="G17">
        <v>96</v>
      </c>
      <c r="H17">
        <v>4</v>
      </c>
      <c r="I17">
        <f>IF(MONTH(calls[[#This Row],[Date of Call]])&lt;=6, YEAR(calls[[#This Row],[Date of Call]]), YEAR(calls[[#This Row],[Date of Call]])+1)</f>
        <v>2025</v>
      </c>
      <c r="J17" t="str">
        <f>TEXT(calls[[#This Row],[Date of Call]],"DDDD")</f>
        <v>Saturday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P17" s="6" t="s">
        <v>59</v>
      </c>
      <c r="Q17" s="3" t="s">
        <v>40</v>
      </c>
      <c r="R17" s="2">
        <v>38</v>
      </c>
      <c r="S17" s="7" t="s">
        <v>44</v>
      </c>
    </row>
    <row r="18" spans="2:19">
      <c r="B18" t="s">
        <v>89</v>
      </c>
      <c r="C18" t="s">
        <v>53</v>
      </c>
      <c r="D18">
        <v>48</v>
      </c>
      <c r="E18" s="17" t="s">
        <v>34</v>
      </c>
      <c r="F18" s="18">
        <v>45661</v>
      </c>
      <c r="G18">
        <v>68</v>
      </c>
      <c r="H18">
        <v>4.9000000000000004</v>
      </c>
      <c r="I18">
        <f>IF(MONTH(calls[[#This Row],[Date of Call]])&lt;=6, YEAR(calls[[#This Row],[Date of Call]]), YEAR(calls[[#This Row],[Date of Call]])+1)</f>
        <v>2025</v>
      </c>
      <c r="J18" t="str">
        <f>TEXT(calls[[#This Row],[Date of Call]],"DDDD")</f>
        <v>Saturday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P18" s="11" t="s">
        <v>54</v>
      </c>
      <c r="Q18" s="19" t="s">
        <v>40</v>
      </c>
      <c r="R18" s="12">
        <v>43</v>
      </c>
      <c r="S18" s="13" t="s">
        <v>43</v>
      </c>
    </row>
    <row r="19" spans="2:19">
      <c r="B19" t="s">
        <v>90</v>
      </c>
      <c r="C19" t="s">
        <v>52</v>
      </c>
      <c r="D19">
        <v>176</v>
      </c>
      <c r="E19" s="17" t="s">
        <v>38</v>
      </c>
      <c r="F19" s="18">
        <v>45662</v>
      </c>
      <c r="G19">
        <v>24</v>
      </c>
      <c r="H19">
        <v>4.8</v>
      </c>
      <c r="I19">
        <f>IF(MONTH(calls[[#This Row],[Date of Call]])&lt;=6, YEAR(calls[[#This Row],[Date of Call]]), YEAR(calls[[#This Row],[Date of Call]])+1)</f>
        <v>2025</v>
      </c>
      <c r="J19" t="str">
        <f>TEXT(calls[[#This Row],[Date of Call]],"DDDD")</f>
        <v>Sunday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19">
      <c r="B20" t="s">
        <v>91</v>
      </c>
      <c r="C20" t="s">
        <v>52</v>
      </c>
      <c r="D20">
        <v>99</v>
      </c>
      <c r="E20" s="17" t="s">
        <v>34</v>
      </c>
      <c r="F20" s="18">
        <v>45662</v>
      </c>
      <c r="G20">
        <v>195</v>
      </c>
      <c r="H20">
        <v>3.9</v>
      </c>
      <c r="I20">
        <f>IF(MONTH(calls[[#This Row],[Date of Call]])&lt;=6, YEAR(calls[[#This Row],[Date of Call]]), YEAR(calls[[#This Row],[Date of Call]])+1)</f>
        <v>2025</v>
      </c>
      <c r="J20" t="str">
        <f>TEXT(calls[[#This Row],[Date of Call]],"DDDD")</f>
        <v>Sunday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19">
      <c r="B21" t="s">
        <v>92</v>
      </c>
      <c r="C21" t="s">
        <v>58</v>
      </c>
      <c r="D21">
        <v>28</v>
      </c>
      <c r="E21" s="17" t="s">
        <v>36</v>
      </c>
      <c r="F21" s="18">
        <v>45662</v>
      </c>
      <c r="G21">
        <v>28</v>
      </c>
      <c r="H21">
        <v>3.8</v>
      </c>
      <c r="I21">
        <f>IF(MONTH(calls[[#This Row],[Date of Call]])&lt;=6, YEAR(calls[[#This Row],[Date of Call]]), YEAR(calls[[#This Row],[Date of Call]])+1)</f>
        <v>2025</v>
      </c>
      <c r="J21" t="str">
        <f>TEXT(calls[[#This Row],[Date of Call]],"DDDD")</f>
        <v>Sunday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19">
      <c r="B22" t="s">
        <v>93</v>
      </c>
      <c r="C22" t="s">
        <v>50</v>
      </c>
      <c r="D22">
        <v>54</v>
      </c>
      <c r="E22" s="17" t="s">
        <v>35</v>
      </c>
      <c r="F22" s="18">
        <v>45662</v>
      </c>
      <c r="G22">
        <v>170</v>
      </c>
      <c r="H22">
        <v>4.3</v>
      </c>
      <c r="I22">
        <f>IF(MONTH(calls[[#This Row],[Date of Call]])&lt;=6, YEAR(calls[[#This Row],[Date of Call]]), YEAR(calls[[#This Row],[Date of Call]])+1)</f>
        <v>2025</v>
      </c>
      <c r="J22" t="str">
        <f>TEXT(calls[[#This Row],[Date of Call]],"DDDD")</f>
        <v>Sunday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19">
      <c r="B23" t="s">
        <v>94</v>
      </c>
      <c r="C23" t="s">
        <v>57</v>
      </c>
      <c r="D23">
        <v>48</v>
      </c>
      <c r="E23" s="17" t="s">
        <v>38</v>
      </c>
      <c r="F23" s="18">
        <v>45663</v>
      </c>
      <c r="G23">
        <v>30</v>
      </c>
      <c r="H23">
        <v>4.4000000000000004</v>
      </c>
      <c r="I23">
        <f>IF(MONTH(calls[[#This Row],[Date of Call]])&lt;=6, YEAR(calls[[#This Row],[Date of Call]]), YEAR(calls[[#This Row],[Date of Call]])+1)</f>
        <v>2025</v>
      </c>
      <c r="J23" t="str">
        <f>TEXT(calls[[#This Row],[Date of Call]],"DDDD")</f>
        <v>Monday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19">
      <c r="B24" t="s">
        <v>95</v>
      </c>
      <c r="C24" t="s">
        <v>46</v>
      </c>
      <c r="D24">
        <v>128</v>
      </c>
      <c r="E24" s="17" t="s">
        <v>38</v>
      </c>
      <c r="F24" s="18">
        <v>45663</v>
      </c>
      <c r="G24">
        <v>72</v>
      </c>
      <c r="H24">
        <v>5</v>
      </c>
      <c r="I24">
        <f>IF(MONTH(calls[[#This Row],[Date of Call]])&lt;=6, YEAR(calls[[#This Row],[Date of Call]]), YEAR(calls[[#This Row],[Date of Call]])+1)</f>
        <v>2025</v>
      </c>
      <c r="J24" t="str">
        <f>TEXT(calls[[#This Row],[Date of Call]],"DDDD")</f>
        <v>Monday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19">
      <c r="B25" t="s">
        <v>96</v>
      </c>
      <c r="C25" t="s">
        <v>46</v>
      </c>
      <c r="D25">
        <v>38</v>
      </c>
      <c r="E25" s="17" t="s">
        <v>37</v>
      </c>
      <c r="F25" s="18">
        <v>45664</v>
      </c>
      <c r="G25">
        <v>92</v>
      </c>
      <c r="H25">
        <v>4.9000000000000004</v>
      </c>
      <c r="I25">
        <f>IF(MONTH(calls[[#This Row],[Date of Call]])&lt;=6, YEAR(calls[[#This Row],[Date of Call]]), YEAR(calls[[#This Row],[Date of Call]])+1)</f>
        <v>2025</v>
      </c>
      <c r="J25" t="str">
        <f>TEXT(calls[[#This Row],[Date of Call]],"DDDD")</f>
        <v>Tuesday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19">
      <c r="B26" t="s">
        <v>97</v>
      </c>
      <c r="C26" t="s">
        <v>45</v>
      </c>
      <c r="D26">
        <v>67</v>
      </c>
      <c r="E26" s="17" t="s">
        <v>37</v>
      </c>
      <c r="F26" s="18">
        <v>45665</v>
      </c>
      <c r="G26">
        <v>165</v>
      </c>
      <c r="H26">
        <v>4.5</v>
      </c>
      <c r="I26">
        <f>IF(MONTH(calls[[#This Row],[Date of Call]])&lt;=6, YEAR(calls[[#This Row],[Date of Call]]), YEAR(calls[[#This Row],[Date of Call]])+1)</f>
        <v>2025</v>
      </c>
      <c r="J26" t="str">
        <f>TEXT(calls[[#This Row],[Date of Call]],"DDDD")</f>
        <v>Wednesday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19">
      <c r="B27" t="s">
        <v>98</v>
      </c>
      <c r="C27" t="s">
        <v>54</v>
      </c>
      <c r="D27">
        <v>58</v>
      </c>
      <c r="E27" s="17" t="s">
        <v>35</v>
      </c>
      <c r="F27" s="18">
        <v>45665</v>
      </c>
      <c r="G27">
        <v>140</v>
      </c>
      <c r="H27">
        <v>2.1</v>
      </c>
      <c r="I27">
        <f>IF(MONTH(calls[[#This Row],[Date of Call]])&lt;=6, YEAR(calls[[#This Row],[Date of Call]]), YEAR(calls[[#This Row],[Date of Call]])+1)</f>
        <v>2025</v>
      </c>
      <c r="J27" t="str">
        <f>TEXT(calls[[#This Row],[Date of Call]],"DDDD")</f>
        <v>Wednesday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19">
      <c r="B28" t="s">
        <v>99</v>
      </c>
      <c r="C28" t="s">
        <v>52</v>
      </c>
      <c r="D28">
        <v>54</v>
      </c>
      <c r="E28" s="17" t="s">
        <v>34</v>
      </c>
      <c r="F28" s="18">
        <v>45665</v>
      </c>
      <c r="G28">
        <v>111</v>
      </c>
      <c r="H28">
        <v>3.3</v>
      </c>
      <c r="I28">
        <f>IF(MONTH(calls[[#This Row],[Date of Call]])&lt;=6, YEAR(calls[[#This Row],[Date of Call]]), YEAR(calls[[#This Row],[Date of Call]])+1)</f>
        <v>2025</v>
      </c>
      <c r="J28" t="str">
        <f>TEXT(calls[[#This Row],[Date of Call]],"DDDD")</f>
        <v>Wednesday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19">
      <c r="B29" t="s">
        <v>100</v>
      </c>
      <c r="C29" t="s">
        <v>48</v>
      </c>
      <c r="D29">
        <v>28</v>
      </c>
      <c r="E29" s="17" t="s">
        <v>38</v>
      </c>
      <c r="F29" s="18">
        <v>45666</v>
      </c>
      <c r="G29">
        <v>63</v>
      </c>
      <c r="H29">
        <v>4.0999999999999996</v>
      </c>
      <c r="I29">
        <f>IF(MONTH(calls[[#This Row],[Date of Call]])&lt;=6, YEAR(calls[[#This Row],[Date of Call]]), YEAR(calls[[#This Row],[Date of Call]])+1)</f>
        <v>2025</v>
      </c>
      <c r="J29" t="str">
        <f>TEXT(calls[[#This Row],[Date of Call]],"DDDD")</f>
        <v>Thursday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19">
      <c r="B30" t="s">
        <v>101</v>
      </c>
      <c r="C30" t="s">
        <v>49</v>
      </c>
      <c r="D30">
        <v>73</v>
      </c>
      <c r="E30" s="17" t="s">
        <v>38</v>
      </c>
      <c r="F30" s="18">
        <v>45666</v>
      </c>
      <c r="G30">
        <v>80</v>
      </c>
      <c r="H30">
        <v>4.2</v>
      </c>
      <c r="I30">
        <f>IF(MONTH(calls[[#This Row],[Date of Call]])&lt;=6, YEAR(calls[[#This Row],[Date of Call]]), YEAR(calls[[#This Row],[Date of Call]])+1)</f>
        <v>2025</v>
      </c>
      <c r="J30" t="str">
        <f>TEXT(calls[[#This Row],[Date of Call]],"DDDD")</f>
        <v>Thursday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19">
      <c r="B31" t="s">
        <v>102</v>
      </c>
      <c r="C31" t="s">
        <v>47</v>
      </c>
      <c r="D31">
        <v>81</v>
      </c>
      <c r="E31" s="17" t="s">
        <v>38</v>
      </c>
      <c r="F31" s="18">
        <v>45667</v>
      </c>
      <c r="G31">
        <v>50</v>
      </c>
      <c r="H31">
        <v>4.5999999999999996</v>
      </c>
      <c r="I31">
        <f>IF(MONTH(calls[[#This Row],[Date of Call]])&lt;=6, YEAR(calls[[#This Row],[Date of Call]]), YEAR(calls[[#This Row],[Date of Call]])+1)</f>
        <v>2025</v>
      </c>
      <c r="J31" t="str">
        <f>TEXT(calls[[#This Row],[Date of Call]],"DDDD")</f>
        <v>Friday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19">
      <c r="B32" t="s">
        <v>103</v>
      </c>
      <c r="C32" t="s">
        <v>58</v>
      </c>
      <c r="D32">
        <v>31</v>
      </c>
      <c r="E32" s="17" t="s">
        <v>37</v>
      </c>
      <c r="F32" s="18">
        <v>45667</v>
      </c>
      <c r="G32">
        <v>123</v>
      </c>
      <c r="H32">
        <v>2.9</v>
      </c>
      <c r="I32">
        <f>IF(MONTH(calls[[#This Row],[Date of Call]])&lt;=6, YEAR(calls[[#This Row],[Date of Call]]), YEAR(calls[[#This Row],[Date of Call]])+1)</f>
        <v>2025</v>
      </c>
      <c r="J32" t="str">
        <f>TEXT(calls[[#This Row],[Date of Call]],"DDDD")</f>
        <v>Friday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104</v>
      </c>
      <c r="C33" t="s">
        <v>54</v>
      </c>
      <c r="D33">
        <v>155</v>
      </c>
      <c r="E33" s="17" t="s">
        <v>34</v>
      </c>
      <c r="F33" s="18">
        <v>45667</v>
      </c>
      <c r="G33">
        <v>110</v>
      </c>
      <c r="H33">
        <v>4.8</v>
      </c>
      <c r="I33">
        <f>IF(MONTH(calls[[#This Row],[Date of Call]])&lt;=6, YEAR(calls[[#This Row],[Date of Call]]), YEAR(calls[[#This Row],[Date of Call]])+1)</f>
        <v>2025</v>
      </c>
      <c r="J33" t="str">
        <f>TEXT(calls[[#This Row],[Date of Call]],"DDDD")</f>
        <v>Friday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105</v>
      </c>
      <c r="C34" t="s">
        <v>58</v>
      </c>
      <c r="D34">
        <v>80</v>
      </c>
      <c r="E34" s="17" t="s">
        <v>38</v>
      </c>
      <c r="F34" s="18">
        <v>45667</v>
      </c>
      <c r="G34">
        <v>140</v>
      </c>
      <c r="H34">
        <v>4.2</v>
      </c>
      <c r="I34">
        <f>IF(MONTH(calls[[#This Row],[Date of Call]])&lt;=6, YEAR(calls[[#This Row],[Date of Call]]), YEAR(calls[[#This Row],[Date of Call]])+1)</f>
        <v>2025</v>
      </c>
      <c r="J34" t="str">
        <f>TEXT(calls[[#This Row],[Date of Call]],"DDDD")</f>
        <v>Friday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106</v>
      </c>
      <c r="C35" t="s">
        <v>47</v>
      </c>
      <c r="D35">
        <v>82</v>
      </c>
      <c r="E35" s="17" t="s">
        <v>38</v>
      </c>
      <c r="F35" s="18">
        <v>45669</v>
      </c>
      <c r="G35">
        <v>42</v>
      </c>
      <c r="H35">
        <v>3.7</v>
      </c>
      <c r="I35">
        <f>IF(MONTH(calls[[#This Row],[Date of Call]])&lt;=6, YEAR(calls[[#This Row],[Date of Call]]), YEAR(calls[[#This Row],[Date of Call]])+1)</f>
        <v>2025</v>
      </c>
      <c r="J35" t="str">
        <f>TEXT(calls[[#This Row],[Date of Call]],"DDDD")</f>
        <v>Sunday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107</v>
      </c>
      <c r="C36" t="s">
        <v>47</v>
      </c>
      <c r="D36">
        <v>29</v>
      </c>
      <c r="E36" s="17" t="s">
        <v>34</v>
      </c>
      <c r="F36" s="18">
        <v>45669</v>
      </c>
      <c r="G36">
        <v>170</v>
      </c>
      <c r="H36">
        <v>5</v>
      </c>
      <c r="I36">
        <f>IF(MONTH(calls[[#This Row],[Date of Call]])&lt;=6, YEAR(calls[[#This Row],[Date of Call]]), YEAR(calls[[#This Row],[Date of Call]])+1)</f>
        <v>2025</v>
      </c>
      <c r="J36" t="str">
        <f>TEXT(calls[[#This Row],[Date of Call]],"DDDD")</f>
        <v>Sunday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108</v>
      </c>
      <c r="C37" t="s">
        <v>57</v>
      </c>
      <c r="D37">
        <v>160</v>
      </c>
      <c r="E37" s="17" t="s">
        <v>35</v>
      </c>
      <c r="F37" s="18">
        <v>45671</v>
      </c>
      <c r="G37">
        <v>105</v>
      </c>
      <c r="H37">
        <v>5</v>
      </c>
      <c r="I37">
        <f>IF(MONTH(calls[[#This Row],[Date of Call]])&lt;=6, YEAR(calls[[#This Row],[Date of Call]]), YEAR(calls[[#This Row],[Date of Call]])+1)</f>
        <v>2025</v>
      </c>
      <c r="J37" t="str">
        <f>TEXT(calls[[#This Row],[Date of Call]],"DDDD")</f>
        <v>Tuesday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109</v>
      </c>
      <c r="C38" t="s">
        <v>55</v>
      </c>
      <c r="D38">
        <v>105</v>
      </c>
      <c r="E38" s="17" t="s">
        <v>38</v>
      </c>
      <c r="F38" s="18">
        <v>45672</v>
      </c>
      <c r="G38">
        <v>125</v>
      </c>
      <c r="H38">
        <v>4.8</v>
      </c>
      <c r="I38">
        <f>IF(MONTH(calls[[#This Row],[Date of Call]])&lt;=6, YEAR(calls[[#This Row],[Date of Call]]), YEAR(calls[[#This Row],[Date of Call]])+1)</f>
        <v>2025</v>
      </c>
      <c r="J38" t="str">
        <f>TEXT(calls[[#This Row],[Date of Call]],"DDDD")</f>
        <v>Wednesday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110</v>
      </c>
      <c r="C39" t="s">
        <v>58</v>
      </c>
      <c r="D39">
        <v>75</v>
      </c>
      <c r="E39" s="17" t="s">
        <v>36</v>
      </c>
      <c r="F39" s="18">
        <v>45672</v>
      </c>
      <c r="G39">
        <v>26</v>
      </c>
      <c r="H39">
        <v>2.4</v>
      </c>
      <c r="I39">
        <f>IF(MONTH(calls[[#This Row],[Date of Call]])&lt;=6, YEAR(calls[[#This Row],[Date of Call]]), YEAR(calls[[#This Row],[Date of Call]])+1)</f>
        <v>2025</v>
      </c>
      <c r="J39" t="str">
        <f>TEXT(calls[[#This Row],[Date of Call]],"DDDD")</f>
        <v>Wednesday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111</v>
      </c>
      <c r="C40" t="s">
        <v>54</v>
      </c>
      <c r="D40">
        <v>94</v>
      </c>
      <c r="E40" s="17" t="s">
        <v>36</v>
      </c>
      <c r="F40" s="18">
        <v>45673</v>
      </c>
      <c r="G40">
        <v>120</v>
      </c>
      <c r="H40">
        <v>3.1</v>
      </c>
      <c r="I40">
        <f>IF(MONTH(calls[[#This Row],[Date of Call]])&lt;=6, YEAR(calls[[#This Row],[Date of Call]]), YEAR(calls[[#This Row],[Date of Call]])+1)</f>
        <v>2025</v>
      </c>
      <c r="J40" t="str">
        <f>TEXT(calls[[#This Row],[Date of Call]],"DDDD")</f>
        <v>Thursday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112</v>
      </c>
      <c r="C41" t="s">
        <v>46</v>
      </c>
      <c r="D41">
        <v>90</v>
      </c>
      <c r="E41" s="17" t="s">
        <v>35</v>
      </c>
      <c r="F41" s="18">
        <v>45673</v>
      </c>
      <c r="G41">
        <v>132</v>
      </c>
      <c r="H41">
        <v>3.2</v>
      </c>
      <c r="I41">
        <f>IF(MONTH(calls[[#This Row],[Date of Call]])&lt;=6, YEAR(calls[[#This Row],[Date of Call]]), YEAR(calls[[#This Row],[Date of Call]])+1)</f>
        <v>2025</v>
      </c>
      <c r="J41" t="str">
        <f>TEXT(calls[[#This Row],[Date of Call]],"DDDD")</f>
        <v>Thursday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113</v>
      </c>
      <c r="C42" t="s">
        <v>54</v>
      </c>
      <c r="D42">
        <v>81</v>
      </c>
      <c r="E42" s="17" t="s">
        <v>37</v>
      </c>
      <c r="F42" s="18">
        <v>45674</v>
      </c>
      <c r="G42">
        <v>86</v>
      </c>
      <c r="H42">
        <v>2.4</v>
      </c>
      <c r="I42">
        <f>IF(MONTH(calls[[#This Row],[Date of Call]])&lt;=6, YEAR(calls[[#This Row],[Date of Call]]), YEAR(calls[[#This Row],[Date of Call]])+1)</f>
        <v>2025</v>
      </c>
      <c r="J42" t="str">
        <f>TEXT(calls[[#This Row],[Date of Call]],"DDDD")</f>
        <v>Friday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114</v>
      </c>
      <c r="C43" t="s">
        <v>58</v>
      </c>
      <c r="D43">
        <v>106</v>
      </c>
      <c r="E43" s="17" t="s">
        <v>38</v>
      </c>
      <c r="F43" s="18">
        <v>45674</v>
      </c>
      <c r="G43">
        <v>108</v>
      </c>
      <c r="H43">
        <v>5</v>
      </c>
      <c r="I43">
        <f>IF(MONTH(calls[[#This Row],[Date of Call]])&lt;=6, YEAR(calls[[#This Row],[Date of Call]]), YEAR(calls[[#This Row],[Date of Call]])+1)</f>
        <v>2025</v>
      </c>
      <c r="J43" t="str">
        <f>TEXT(calls[[#This Row],[Date of Call]],"DDDD")</f>
        <v>Friday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115</v>
      </c>
      <c r="C44" t="s">
        <v>46</v>
      </c>
      <c r="D44">
        <v>74</v>
      </c>
      <c r="E44" s="17" t="s">
        <v>37</v>
      </c>
      <c r="F44" s="18">
        <v>45674</v>
      </c>
      <c r="G44">
        <v>96</v>
      </c>
      <c r="H44">
        <v>4.7</v>
      </c>
      <c r="I44">
        <f>IF(MONTH(calls[[#This Row],[Date of Call]])&lt;=6, YEAR(calls[[#This Row],[Date of Call]]), YEAR(calls[[#This Row],[Date of Call]])+1)</f>
        <v>2025</v>
      </c>
      <c r="J44" t="str">
        <f>TEXT(calls[[#This Row],[Date of Call]],"DDDD")</f>
        <v>Friday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116</v>
      </c>
      <c r="C45" t="s">
        <v>52</v>
      </c>
      <c r="D45">
        <v>105</v>
      </c>
      <c r="E45" s="17" t="s">
        <v>35</v>
      </c>
      <c r="F45" s="18">
        <v>45675</v>
      </c>
      <c r="G45">
        <v>80</v>
      </c>
      <c r="H45">
        <v>4.7</v>
      </c>
      <c r="I45">
        <f>IF(MONTH(calls[[#This Row],[Date of Call]])&lt;=6, YEAR(calls[[#This Row],[Date of Call]]), YEAR(calls[[#This Row],[Date of Call]])+1)</f>
        <v>2025</v>
      </c>
      <c r="J45" t="str">
        <f>TEXT(calls[[#This Row],[Date of Call]],"DDDD")</f>
        <v>Saturday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117</v>
      </c>
      <c r="C46" t="s">
        <v>58</v>
      </c>
      <c r="D46">
        <v>89</v>
      </c>
      <c r="E46" s="17" t="s">
        <v>38</v>
      </c>
      <c r="F46" s="18">
        <v>45675</v>
      </c>
      <c r="G46">
        <v>155</v>
      </c>
      <c r="H46">
        <v>4.0999999999999996</v>
      </c>
      <c r="I46">
        <f>IF(MONTH(calls[[#This Row],[Date of Call]])&lt;=6, YEAR(calls[[#This Row],[Date of Call]]), YEAR(calls[[#This Row],[Date of Call]])+1)</f>
        <v>2025</v>
      </c>
      <c r="J46" t="str">
        <f>TEXT(calls[[#This Row],[Date of Call]],"DDDD")</f>
        <v>Saturday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118</v>
      </c>
      <c r="C47" t="s">
        <v>53</v>
      </c>
      <c r="D47">
        <v>132</v>
      </c>
      <c r="E47" s="17" t="s">
        <v>36</v>
      </c>
      <c r="F47" s="18">
        <v>45675</v>
      </c>
      <c r="G47">
        <v>168</v>
      </c>
      <c r="H47">
        <v>4.0999999999999996</v>
      </c>
      <c r="I47">
        <f>IF(MONTH(calls[[#This Row],[Date of Call]])&lt;=6, YEAR(calls[[#This Row],[Date of Call]]), YEAR(calls[[#This Row],[Date of Call]])+1)</f>
        <v>2025</v>
      </c>
      <c r="J47" t="str">
        <f>TEXT(calls[[#This Row],[Date of Call]],"DDDD")</f>
        <v>Saturday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119</v>
      </c>
      <c r="C48" t="s">
        <v>55</v>
      </c>
      <c r="D48">
        <v>105</v>
      </c>
      <c r="E48" s="17" t="s">
        <v>34</v>
      </c>
      <c r="F48" s="18">
        <v>45675</v>
      </c>
      <c r="G48">
        <v>56</v>
      </c>
      <c r="H48">
        <v>3.6</v>
      </c>
      <c r="I48">
        <f>IF(MONTH(calls[[#This Row],[Date of Call]])&lt;=6, YEAR(calls[[#This Row],[Date of Call]]), YEAR(calls[[#This Row],[Date of Call]])+1)</f>
        <v>2025</v>
      </c>
      <c r="J48" t="str">
        <f>TEXT(calls[[#This Row],[Date of Call]],"DDDD")</f>
        <v>Saturday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120</v>
      </c>
      <c r="C49" t="s">
        <v>47</v>
      </c>
      <c r="D49">
        <v>13</v>
      </c>
      <c r="E49" s="17" t="s">
        <v>36</v>
      </c>
      <c r="F49" s="18">
        <v>45676</v>
      </c>
      <c r="G49">
        <v>32</v>
      </c>
      <c r="H49">
        <v>4.4000000000000004</v>
      </c>
      <c r="I49">
        <f>IF(MONTH(calls[[#This Row],[Date of Call]])&lt;=6, YEAR(calls[[#This Row],[Date of Call]]), YEAR(calls[[#This Row],[Date of Call]])+1)</f>
        <v>2025</v>
      </c>
      <c r="J49" t="str">
        <f>TEXT(calls[[#This Row],[Date of Call]],"DDDD")</f>
        <v>Sunday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121</v>
      </c>
      <c r="C50" t="s">
        <v>59</v>
      </c>
      <c r="D50">
        <v>131</v>
      </c>
      <c r="E50" s="17" t="s">
        <v>34</v>
      </c>
      <c r="F50" s="18">
        <v>45676</v>
      </c>
      <c r="G50">
        <v>78</v>
      </c>
      <c r="H50">
        <v>4.4000000000000004</v>
      </c>
      <c r="I50">
        <f>IF(MONTH(calls[[#This Row],[Date of Call]])&lt;=6, YEAR(calls[[#This Row],[Date of Call]]), YEAR(calls[[#This Row],[Date of Call]])+1)</f>
        <v>2025</v>
      </c>
      <c r="J50" t="str">
        <f>TEXT(calls[[#This Row],[Date of Call]],"DDDD")</f>
        <v>Sunday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122</v>
      </c>
      <c r="C51" t="s">
        <v>46</v>
      </c>
      <c r="D51">
        <v>104</v>
      </c>
      <c r="E51" s="17" t="s">
        <v>38</v>
      </c>
      <c r="F51" s="18">
        <v>45676</v>
      </c>
      <c r="G51">
        <v>86</v>
      </c>
      <c r="H51">
        <v>4</v>
      </c>
      <c r="I51">
        <f>IF(MONTH(calls[[#This Row],[Date of Call]])&lt;=6, YEAR(calls[[#This Row],[Date of Call]]), YEAR(calls[[#This Row],[Date of Call]])+1)</f>
        <v>2025</v>
      </c>
      <c r="J51" t="str">
        <f>TEXT(calls[[#This Row],[Date of Call]],"DDDD")</f>
        <v>Sunday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123</v>
      </c>
      <c r="C52" t="s">
        <v>45</v>
      </c>
      <c r="D52">
        <v>90</v>
      </c>
      <c r="E52" s="17" t="s">
        <v>35</v>
      </c>
      <c r="F52" s="18">
        <v>45677</v>
      </c>
      <c r="G52">
        <v>64</v>
      </c>
      <c r="H52">
        <v>3.8</v>
      </c>
      <c r="I52">
        <f>IF(MONTH(calls[[#This Row],[Date of Call]])&lt;=6, YEAR(calls[[#This Row],[Date of Call]]), YEAR(calls[[#This Row],[Date of Call]])+1)</f>
        <v>2025</v>
      </c>
      <c r="J52" t="str">
        <f>TEXT(calls[[#This Row],[Date of Call]],"DDDD")</f>
        <v>Monday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124</v>
      </c>
      <c r="C53" t="s">
        <v>48</v>
      </c>
      <c r="D53">
        <v>37</v>
      </c>
      <c r="E53" s="17" t="s">
        <v>35</v>
      </c>
      <c r="F53" s="18">
        <v>45677</v>
      </c>
      <c r="G53">
        <v>96</v>
      </c>
      <c r="H53">
        <v>3.6</v>
      </c>
      <c r="I53">
        <f>IF(MONTH(calls[[#This Row],[Date of Call]])&lt;=6, YEAR(calls[[#This Row],[Date of Call]]), YEAR(calls[[#This Row],[Date of Call]])+1)</f>
        <v>2025</v>
      </c>
      <c r="J53" t="str">
        <f>TEXT(calls[[#This Row],[Date of Call]],"DDDD")</f>
        <v>Monday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125</v>
      </c>
      <c r="C54" t="s">
        <v>49</v>
      </c>
      <c r="D54">
        <v>149</v>
      </c>
      <c r="E54" s="17" t="s">
        <v>34</v>
      </c>
      <c r="F54" s="18">
        <v>45677</v>
      </c>
      <c r="G54">
        <v>72</v>
      </c>
      <c r="H54">
        <v>4.3</v>
      </c>
      <c r="I54">
        <f>IF(MONTH(calls[[#This Row],[Date of Call]])&lt;=6, YEAR(calls[[#This Row],[Date of Call]]), YEAR(calls[[#This Row],[Date of Call]])+1)</f>
        <v>2025</v>
      </c>
      <c r="J54" t="str">
        <f>TEXT(calls[[#This Row],[Date of Call]],"DDDD")</f>
        <v>Monday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126</v>
      </c>
      <c r="C55" t="s">
        <v>53</v>
      </c>
      <c r="D55">
        <v>100</v>
      </c>
      <c r="E55" s="17" t="s">
        <v>37</v>
      </c>
      <c r="F55" s="18">
        <v>45678</v>
      </c>
      <c r="G55">
        <v>135</v>
      </c>
      <c r="H55">
        <v>3.8</v>
      </c>
      <c r="I55">
        <f>IF(MONTH(calls[[#This Row],[Date of Call]])&lt;=6, YEAR(calls[[#This Row],[Date of Call]]), YEAR(calls[[#This Row],[Date of Call]])+1)</f>
        <v>2025</v>
      </c>
      <c r="J55" t="str">
        <f>TEXT(calls[[#This Row],[Date of Call]],"DDDD")</f>
        <v>Tuesday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127</v>
      </c>
      <c r="C56" t="s">
        <v>53</v>
      </c>
      <c r="D56">
        <v>79</v>
      </c>
      <c r="E56" s="17" t="s">
        <v>36</v>
      </c>
      <c r="F56" s="18">
        <v>45678</v>
      </c>
      <c r="G56">
        <v>140</v>
      </c>
      <c r="H56">
        <v>4.5</v>
      </c>
      <c r="I56">
        <f>IF(MONTH(calls[[#This Row],[Date of Call]])&lt;=6, YEAR(calls[[#This Row],[Date of Call]]), YEAR(calls[[#This Row],[Date of Call]])+1)</f>
        <v>2025</v>
      </c>
      <c r="J56" t="str">
        <f>TEXT(calls[[#This Row],[Date of Call]],"DDDD")</f>
        <v>Tuesday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128</v>
      </c>
      <c r="C57" t="s">
        <v>51</v>
      </c>
      <c r="D57">
        <v>157</v>
      </c>
      <c r="E57" s="17" t="s">
        <v>34</v>
      </c>
      <c r="F57" s="18">
        <v>45678</v>
      </c>
      <c r="G57">
        <v>69</v>
      </c>
      <c r="H57">
        <v>4.5</v>
      </c>
      <c r="I57">
        <f>IF(MONTH(calls[[#This Row],[Date of Call]])&lt;=6, YEAR(calls[[#This Row],[Date of Call]]), YEAR(calls[[#This Row],[Date of Call]])+1)</f>
        <v>2025</v>
      </c>
      <c r="J57" t="str">
        <f>TEXT(calls[[#This Row],[Date of Call]],"DDDD")</f>
        <v>Tuesday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129</v>
      </c>
      <c r="C58" t="s">
        <v>53</v>
      </c>
      <c r="D58">
        <v>59</v>
      </c>
      <c r="E58" s="17" t="s">
        <v>38</v>
      </c>
      <c r="F58" s="18">
        <v>45679</v>
      </c>
      <c r="G58">
        <v>136</v>
      </c>
      <c r="H58">
        <v>4.5999999999999996</v>
      </c>
      <c r="I58">
        <f>IF(MONTH(calls[[#This Row],[Date of Call]])&lt;=6, YEAR(calls[[#This Row],[Date of Call]]), YEAR(calls[[#This Row],[Date of Call]])+1)</f>
        <v>2025</v>
      </c>
      <c r="J58" t="str">
        <f>TEXT(calls[[#This Row],[Date of Call]],"DDDD")</f>
        <v>Wednesday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130</v>
      </c>
      <c r="C59" t="s">
        <v>48</v>
      </c>
      <c r="D59">
        <v>83</v>
      </c>
      <c r="E59" s="17" t="s">
        <v>34</v>
      </c>
      <c r="F59" s="18">
        <v>45679</v>
      </c>
      <c r="G59">
        <v>28</v>
      </c>
      <c r="H59">
        <v>4.5</v>
      </c>
      <c r="I59">
        <f>IF(MONTH(calls[[#This Row],[Date of Call]])&lt;=6, YEAR(calls[[#This Row],[Date of Call]]), YEAR(calls[[#This Row],[Date of Call]])+1)</f>
        <v>2025</v>
      </c>
      <c r="J59" t="str">
        <f>TEXT(calls[[#This Row],[Date of Call]],"DDDD")</f>
        <v>Wednesday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131</v>
      </c>
      <c r="C60" t="s">
        <v>51</v>
      </c>
      <c r="D60">
        <v>58</v>
      </c>
      <c r="E60" s="17" t="s">
        <v>35</v>
      </c>
      <c r="F60" s="18">
        <v>45680</v>
      </c>
      <c r="G60">
        <v>135</v>
      </c>
      <c r="H60">
        <v>3.3</v>
      </c>
      <c r="I60">
        <f>IF(MONTH(calls[[#This Row],[Date of Call]])&lt;=6, YEAR(calls[[#This Row],[Date of Call]]), YEAR(calls[[#This Row],[Date of Call]])+1)</f>
        <v>2025</v>
      </c>
      <c r="J60" t="str">
        <f>TEXT(calls[[#This Row],[Date of Call]],"DDDD")</f>
        <v>Thursday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132</v>
      </c>
      <c r="C61" t="s">
        <v>54</v>
      </c>
      <c r="D61">
        <v>118</v>
      </c>
      <c r="E61" s="17" t="s">
        <v>35</v>
      </c>
      <c r="F61" s="18">
        <v>45680</v>
      </c>
      <c r="G61">
        <v>126</v>
      </c>
      <c r="H61">
        <v>2.2999999999999998</v>
      </c>
      <c r="I61">
        <f>IF(MONTH(calls[[#This Row],[Date of Call]])&lt;=6, YEAR(calls[[#This Row],[Date of Call]]), YEAR(calls[[#This Row],[Date of Call]])+1)</f>
        <v>2025</v>
      </c>
      <c r="J61" t="str">
        <f>TEXT(calls[[#This Row],[Date of Call]],"DDDD")</f>
        <v>Thursday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133</v>
      </c>
      <c r="C62" t="s">
        <v>47</v>
      </c>
      <c r="D62">
        <v>63</v>
      </c>
      <c r="E62" s="17" t="s">
        <v>38</v>
      </c>
      <c r="F62" s="18">
        <v>45680</v>
      </c>
      <c r="G62">
        <v>160</v>
      </c>
      <c r="H62">
        <v>4.3</v>
      </c>
      <c r="I62">
        <f>IF(MONTH(calls[[#This Row],[Date of Call]])&lt;=6, YEAR(calls[[#This Row],[Date of Call]]), YEAR(calls[[#This Row],[Date of Call]])+1)</f>
        <v>2025</v>
      </c>
      <c r="J62" t="str">
        <f>TEXT(calls[[#This Row],[Date of Call]],"DDDD")</f>
        <v>Thursday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134</v>
      </c>
      <c r="C63" t="s">
        <v>51</v>
      </c>
      <c r="D63">
        <v>95</v>
      </c>
      <c r="E63" s="17" t="s">
        <v>35</v>
      </c>
      <c r="F63" s="18">
        <v>45681</v>
      </c>
      <c r="G63">
        <v>48</v>
      </c>
      <c r="H63">
        <v>4.5999999999999996</v>
      </c>
      <c r="I63">
        <f>IF(MONTH(calls[[#This Row],[Date of Call]])&lt;=6, YEAR(calls[[#This Row],[Date of Call]]), YEAR(calls[[#This Row],[Date of Call]])+1)</f>
        <v>2025</v>
      </c>
      <c r="J63" t="str">
        <f>TEXT(calls[[#This Row],[Date of Call]],"DDDD")</f>
        <v>Friday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135</v>
      </c>
      <c r="C64" t="s">
        <v>53</v>
      </c>
      <c r="D64">
        <v>74</v>
      </c>
      <c r="E64" s="17" t="s">
        <v>34</v>
      </c>
      <c r="F64" s="18">
        <v>45681</v>
      </c>
      <c r="G64">
        <v>66</v>
      </c>
      <c r="H64">
        <v>4</v>
      </c>
      <c r="I64">
        <f>IF(MONTH(calls[[#This Row],[Date of Call]])&lt;=6, YEAR(calls[[#This Row],[Date of Call]]), YEAR(calls[[#This Row],[Date of Call]])+1)</f>
        <v>2025</v>
      </c>
      <c r="J64" t="str">
        <f>TEXT(calls[[#This Row],[Date of Call]],"DDDD")</f>
        <v>Friday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136</v>
      </c>
      <c r="C65" t="s">
        <v>52</v>
      </c>
      <c r="D65">
        <v>130</v>
      </c>
      <c r="E65" s="17" t="s">
        <v>37</v>
      </c>
      <c r="F65" s="18">
        <v>45681</v>
      </c>
      <c r="G65">
        <v>126</v>
      </c>
      <c r="H65">
        <v>2.5</v>
      </c>
      <c r="I65">
        <f>IF(MONTH(calls[[#This Row],[Date of Call]])&lt;=6, YEAR(calls[[#This Row],[Date of Call]]), YEAR(calls[[#This Row],[Date of Call]])+1)</f>
        <v>2025</v>
      </c>
      <c r="J65" t="str">
        <f>TEXT(calls[[#This Row],[Date of Call]],"DDDD")</f>
        <v>Friday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137</v>
      </c>
      <c r="C66" t="s">
        <v>54</v>
      </c>
      <c r="D66">
        <v>110</v>
      </c>
      <c r="E66" s="17" t="s">
        <v>36</v>
      </c>
      <c r="F66" s="18">
        <v>45681</v>
      </c>
      <c r="G66">
        <v>96</v>
      </c>
      <c r="H66">
        <v>5</v>
      </c>
      <c r="I66">
        <f>IF(MONTH(calls[[#This Row],[Date of Call]])&lt;=6, YEAR(calls[[#This Row],[Date of Call]]), YEAR(calls[[#This Row],[Date of Call]])+1)</f>
        <v>2025</v>
      </c>
      <c r="J66" t="str">
        <f>TEXT(calls[[#This Row],[Date of Call]],"DDDD")</f>
        <v>Friday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138</v>
      </c>
      <c r="C67" t="s">
        <v>53</v>
      </c>
      <c r="D67">
        <v>71</v>
      </c>
      <c r="E67" s="17" t="s">
        <v>38</v>
      </c>
      <c r="F67" s="18">
        <v>45682</v>
      </c>
      <c r="G67">
        <v>90</v>
      </c>
      <c r="H67">
        <v>3.8</v>
      </c>
      <c r="I67">
        <f>IF(MONTH(calls[[#This Row],[Date of Call]])&lt;=6, YEAR(calls[[#This Row],[Date of Call]]), YEAR(calls[[#This Row],[Date of Call]])+1)</f>
        <v>2025</v>
      </c>
      <c r="J67" t="str">
        <f>TEXT(calls[[#This Row],[Date of Call]],"DDDD")</f>
        <v>Saturday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139</v>
      </c>
      <c r="C68" t="s">
        <v>55</v>
      </c>
      <c r="D68">
        <v>147</v>
      </c>
      <c r="E68" s="17" t="s">
        <v>37</v>
      </c>
      <c r="F68" s="18">
        <v>45682</v>
      </c>
      <c r="G68">
        <v>105</v>
      </c>
      <c r="H68">
        <v>4.4000000000000004</v>
      </c>
      <c r="I68">
        <f>IF(MONTH(calls[[#This Row],[Date of Call]])&lt;=6, YEAR(calls[[#This Row],[Date of Call]]), YEAR(calls[[#This Row],[Date of Call]])+1)</f>
        <v>2025</v>
      </c>
      <c r="J68" t="str">
        <f>TEXT(calls[[#This Row],[Date of Call]],"DDDD")</f>
        <v>Saturday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140</v>
      </c>
      <c r="C69" t="s">
        <v>46</v>
      </c>
      <c r="D69">
        <v>69</v>
      </c>
      <c r="E69" s="17" t="s">
        <v>35</v>
      </c>
      <c r="F69" s="18">
        <v>45683</v>
      </c>
      <c r="G69">
        <v>40</v>
      </c>
      <c r="H69">
        <v>3.8</v>
      </c>
      <c r="I69">
        <f>IF(MONTH(calls[[#This Row],[Date of Call]])&lt;=6, YEAR(calls[[#This Row],[Date of Call]]), YEAR(calls[[#This Row],[Date of Call]])+1)</f>
        <v>2025</v>
      </c>
      <c r="J69" t="str">
        <f>TEXT(calls[[#This Row],[Date of Call]],"DDDD")</f>
        <v>Sunday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141</v>
      </c>
      <c r="C70" t="s">
        <v>54</v>
      </c>
      <c r="D70">
        <v>50</v>
      </c>
      <c r="E70" s="17" t="s">
        <v>38</v>
      </c>
      <c r="F70" s="18">
        <v>45683</v>
      </c>
      <c r="G70">
        <v>60</v>
      </c>
      <c r="H70">
        <v>2</v>
      </c>
      <c r="I70">
        <f>IF(MONTH(calls[[#This Row],[Date of Call]])&lt;=6, YEAR(calls[[#This Row],[Date of Call]]), YEAR(calls[[#This Row],[Date of Call]])+1)</f>
        <v>2025</v>
      </c>
      <c r="J70" t="str">
        <f>TEXT(calls[[#This Row],[Date of Call]],"DDDD")</f>
        <v>Sunday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142</v>
      </c>
      <c r="C71" t="s">
        <v>52</v>
      </c>
      <c r="D71">
        <v>124</v>
      </c>
      <c r="E71" s="17" t="s">
        <v>37</v>
      </c>
      <c r="F71" s="18">
        <v>45684</v>
      </c>
      <c r="G71">
        <v>215</v>
      </c>
      <c r="H71">
        <v>4.0999999999999996</v>
      </c>
      <c r="I71">
        <f>IF(MONTH(calls[[#This Row],[Date of Call]])&lt;=6, YEAR(calls[[#This Row],[Date of Call]]), YEAR(calls[[#This Row],[Date of Call]])+1)</f>
        <v>2025</v>
      </c>
      <c r="J71" t="str">
        <f>TEXT(calls[[#This Row],[Date of Call]],"DDDD")</f>
        <v>Monday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143</v>
      </c>
      <c r="C72" t="s">
        <v>56</v>
      </c>
      <c r="D72">
        <v>81</v>
      </c>
      <c r="E72" s="17" t="s">
        <v>34</v>
      </c>
      <c r="F72" s="18">
        <v>45684</v>
      </c>
      <c r="G72">
        <v>156</v>
      </c>
      <c r="H72">
        <v>2.6</v>
      </c>
      <c r="I72">
        <f>IF(MONTH(calls[[#This Row],[Date of Call]])&lt;=6, YEAR(calls[[#This Row],[Date of Call]]), YEAR(calls[[#This Row],[Date of Call]])+1)</f>
        <v>2025</v>
      </c>
      <c r="J72" t="str">
        <f>TEXT(calls[[#This Row],[Date of Call]],"DDDD")</f>
        <v>Monday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144</v>
      </c>
      <c r="C73" t="s">
        <v>57</v>
      </c>
      <c r="D73">
        <v>141</v>
      </c>
      <c r="E73" s="17" t="s">
        <v>36</v>
      </c>
      <c r="F73" s="18">
        <v>45684</v>
      </c>
      <c r="G73">
        <v>54</v>
      </c>
      <c r="H73">
        <v>0</v>
      </c>
      <c r="I73">
        <f>IF(MONTH(calls[[#This Row],[Date of Call]])&lt;=6, YEAR(calls[[#This Row],[Date of Call]]), YEAR(calls[[#This Row],[Date of Call]])+1)</f>
        <v>2025</v>
      </c>
      <c r="J73" t="str">
        <f>TEXT(calls[[#This Row],[Date of Call]],"DDDD")</f>
        <v>Monday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145</v>
      </c>
      <c r="C74" t="s">
        <v>57</v>
      </c>
      <c r="D74">
        <v>168</v>
      </c>
      <c r="E74" s="17" t="s">
        <v>36</v>
      </c>
      <c r="F74" s="18">
        <v>45685</v>
      </c>
      <c r="G74">
        <v>160</v>
      </c>
      <c r="H74">
        <v>3.9</v>
      </c>
      <c r="I74">
        <f>IF(MONTH(calls[[#This Row],[Date of Call]])&lt;=6, YEAR(calls[[#This Row],[Date of Call]]), YEAR(calls[[#This Row],[Date of Call]])+1)</f>
        <v>2025</v>
      </c>
      <c r="J74" t="str">
        <f>TEXT(calls[[#This Row],[Date of Call]],"DDDD")</f>
        <v>Tuesday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146</v>
      </c>
      <c r="C75" t="s">
        <v>55</v>
      </c>
      <c r="D75">
        <v>101</v>
      </c>
      <c r="E75" s="17" t="s">
        <v>34</v>
      </c>
      <c r="F75" s="18">
        <v>45685</v>
      </c>
      <c r="G75">
        <v>80</v>
      </c>
      <c r="H75">
        <v>4.8</v>
      </c>
      <c r="I75">
        <f>IF(MONTH(calls[[#This Row],[Date of Call]])&lt;=6, YEAR(calls[[#This Row],[Date of Call]]), YEAR(calls[[#This Row],[Date of Call]])+1)</f>
        <v>2025</v>
      </c>
      <c r="J75" t="str">
        <f>TEXT(calls[[#This Row],[Date of Call]],"DDDD")</f>
        <v>Tuesday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147</v>
      </c>
      <c r="C76" t="s">
        <v>53</v>
      </c>
      <c r="D76">
        <v>67</v>
      </c>
      <c r="E76" s="17" t="s">
        <v>34</v>
      </c>
      <c r="F76" s="18">
        <v>45685</v>
      </c>
      <c r="G76">
        <v>168</v>
      </c>
      <c r="H76">
        <v>2.6</v>
      </c>
      <c r="I76">
        <f>IF(MONTH(calls[[#This Row],[Date of Call]])&lt;=6, YEAR(calls[[#This Row],[Date of Call]]), YEAR(calls[[#This Row],[Date of Call]])+1)</f>
        <v>2025</v>
      </c>
      <c r="J76" t="str">
        <f>TEXT(calls[[#This Row],[Date of Call]],"DDDD")</f>
        <v>Tuesday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148</v>
      </c>
      <c r="C77" t="s">
        <v>51</v>
      </c>
      <c r="D77">
        <v>114</v>
      </c>
      <c r="E77" s="17" t="s">
        <v>36</v>
      </c>
      <c r="F77" s="18">
        <v>45687</v>
      </c>
      <c r="G77">
        <v>42</v>
      </c>
      <c r="H77">
        <v>2.6</v>
      </c>
      <c r="I77">
        <f>IF(MONTH(calls[[#This Row],[Date of Call]])&lt;=6, YEAR(calls[[#This Row],[Date of Call]]), YEAR(calls[[#This Row],[Date of Call]])+1)</f>
        <v>2025</v>
      </c>
      <c r="J77" t="str">
        <f>TEXT(calls[[#This Row],[Date of Call]],"DDDD")</f>
        <v>Thursday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149</v>
      </c>
      <c r="C78" t="s">
        <v>56</v>
      </c>
      <c r="D78">
        <v>42</v>
      </c>
      <c r="E78" s="17" t="s">
        <v>34</v>
      </c>
      <c r="F78" s="18">
        <v>45687</v>
      </c>
      <c r="G78">
        <v>205</v>
      </c>
      <c r="H78">
        <v>3.6</v>
      </c>
      <c r="I78">
        <f>IF(MONTH(calls[[#This Row],[Date of Call]])&lt;=6, YEAR(calls[[#This Row],[Date of Call]]), YEAR(calls[[#This Row],[Date of Call]])+1)</f>
        <v>2025</v>
      </c>
      <c r="J78" t="str">
        <f>TEXT(calls[[#This Row],[Date of Call]],"DDDD")</f>
        <v>Thursday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150</v>
      </c>
      <c r="C79" t="s">
        <v>47</v>
      </c>
      <c r="D79">
        <v>69</v>
      </c>
      <c r="E79" s="17" t="s">
        <v>36</v>
      </c>
      <c r="F79" s="18">
        <v>45687</v>
      </c>
      <c r="G79">
        <v>108</v>
      </c>
      <c r="H79">
        <v>3.3</v>
      </c>
      <c r="I79">
        <f>IF(MONTH(calls[[#This Row],[Date of Call]])&lt;=6, YEAR(calls[[#This Row],[Date of Call]]), YEAR(calls[[#This Row],[Date of Call]])+1)</f>
        <v>2025</v>
      </c>
      <c r="J79" t="str">
        <f>TEXT(calls[[#This Row],[Date of Call]],"DDDD")</f>
        <v>Thursday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151</v>
      </c>
      <c r="C80" t="s">
        <v>52</v>
      </c>
      <c r="D80">
        <v>145</v>
      </c>
      <c r="E80" s="17" t="s">
        <v>35</v>
      </c>
      <c r="F80" s="18">
        <v>45687</v>
      </c>
      <c r="G80">
        <v>78</v>
      </c>
      <c r="H80">
        <v>1.9</v>
      </c>
      <c r="I80">
        <f>IF(MONTH(calls[[#This Row],[Date of Call]])&lt;=6, YEAR(calls[[#This Row],[Date of Call]]), YEAR(calls[[#This Row],[Date of Call]])+1)</f>
        <v>2025</v>
      </c>
      <c r="J80" t="str">
        <f>TEXT(calls[[#This Row],[Date of Call]],"DDDD")</f>
        <v>Thursday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152</v>
      </c>
      <c r="C81" t="s">
        <v>46</v>
      </c>
      <c r="D81">
        <v>43</v>
      </c>
      <c r="E81" s="17" t="s">
        <v>36</v>
      </c>
      <c r="F81" s="18">
        <v>45687</v>
      </c>
      <c r="G81">
        <v>23</v>
      </c>
      <c r="H81">
        <v>4.9000000000000004</v>
      </c>
      <c r="I81">
        <f>IF(MONTH(calls[[#This Row],[Date of Call]])&lt;=6, YEAR(calls[[#This Row],[Date of Call]]), YEAR(calls[[#This Row],[Date of Call]])+1)</f>
        <v>2025</v>
      </c>
      <c r="J81" t="str">
        <f>TEXT(calls[[#This Row],[Date of Call]],"DDDD")</f>
        <v>Thursday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153</v>
      </c>
      <c r="C82" t="s">
        <v>47</v>
      </c>
      <c r="D82">
        <v>62</v>
      </c>
      <c r="E82" s="17" t="s">
        <v>38</v>
      </c>
      <c r="F82" s="18">
        <v>45688</v>
      </c>
      <c r="G82">
        <v>99</v>
      </c>
      <c r="H82">
        <v>3.6</v>
      </c>
      <c r="I82">
        <f>IF(MONTH(calls[[#This Row],[Date of Call]])&lt;=6, YEAR(calls[[#This Row],[Date of Call]]), YEAR(calls[[#This Row],[Date of Call]])+1)</f>
        <v>2025</v>
      </c>
      <c r="J82" t="str">
        <f>TEXT(calls[[#This Row],[Date of Call]],"DDDD")</f>
        <v>Friday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154</v>
      </c>
      <c r="C83" t="s">
        <v>58</v>
      </c>
      <c r="D83">
        <v>79</v>
      </c>
      <c r="E83" s="17" t="s">
        <v>36</v>
      </c>
      <c r="F83" s="18">
        <v>45689</v>
      </c>
      <c r="G83">
        <v>148</v>
      </c>
      <c r="H83">
        <v>4.5</v>
      </c>
      <c r="I83">
        <f>IF(MONTH(calls[[#This Row],[Date of Call]])&lt;=6, YEAR(calls[[#This Row],[Date of Call]]), YEAR(calls[[#This Row],[Date of Call]])+1)</f>
        <v>2025</v>
      </c>
      <c r="J83" t="str">
        <f>TEXT(calls[[#This Row],[Date of Call]],"DDDD")</f>
        <v>Saturday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155</v>
      </c>
      <c r="C84" t="s">
        <v>52</v>
      </c>
      <c r="D84">
        <v>45</v>
      </c>
      <c r="E84" s="17" t="s">
        <v>37</v>
      </c>
      <c r="F84" s="18">
        <v>45689</v>
      </c>
      <c r="G84">
        <v>34</v>
      </c>
      <c r="H84">
        <v>3.7</v>
      </c>
      <c r="I84">
        <f>IF(MONTH(calls[[#This Row],[Date of Call]])&lt;=6, YEAR(calls[[#This Row],[Date of Call]]), YEAR(calls[[#This Row],[Date of Call]])+1)</f>
        <v>2025</v>
      </c>
      <c r="J84" t="str">
        <f>TEXT(calls[[#This Row],[Date of Call]],"DDDD")</f>
        <v>Saturday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156</v>
      </c>
      <c r="C85" t="s">
        <v>47</v>
      </c>
      <c r="D85">
        <v>137</v>
      </c>
      <c r="E85" s="17" t="s">
        <v>36</v>
      </c>
      <c r="F85" s="18">
        <v>45689</v>
      </c>
      <c r="G85">
        <v>86</v>
      </c>
      <c r="H85">
        <v>4.8</v>
      </c>
      <c r="I85">
        <f>IF(MONTH(calls[[#This Row],[Date of Call]])&lt;=6, YEAR(calls[[#This Row],[Date of Call]]), YEAR(calls[[#This Row],[Date of Call]])+1)</f>
        <v>2025</v>
      </c>
      <c r="J85" t="str">
        <f>TEXT(calls[[#This Row],[Date of Call]],"DDDD")</f>
        <v>Saturday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157</v>
      </c>
      <c r="C86" t="s">
        <v>51</v>
      </c>
      <c r="D86">
        <v>109</v>
      </c>
      <c r="E86" s="17" t="s">
        <v>38</v>
      </c>
      <c r="F86" s="18">
        <v>45689</v>
      </c>
      <c r="G86">
        <v>105</v>
      </c>
      <c r="H86">
        <v>3.3</v>
      </c>
      <c r="I86">
        <f>IF(MONTH(calls[[#This Row],[Date of Call]])&lt;=6, YEAR(calls[[#This Row],[Date of Call]]), YEAR(calls[[#This Row],[Date of Call]])+1)</f>
        <v>2025</v>
      </c>
      <c r="J86" t="str">
        <f>TEXT(calls[[#This Row],[Date of Call]],"DDDD")</f>
        <v>Saturday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158</v>
      </c>
      <c r="C87" t="s">
        <v>46</v>
      </c>
      <c r="D87">
        <v>78</v>
      </c>
      <c r="E87" s="17" t="s">
        <v>38</v>
      </c>
      <c r="F87" s="18">
        <v>45689</v>
      </c>
      <c r="G87">
        <v>62</v>
      </c>
      <c r="H87">
        <v>3.1</v>
      </c>
      <c r="I87">
        <f>IF(MONTH(calls[[#This Row],[Date of Call]])&lt;=6, YEAR(calls[[#This Row],[Date of Call]]), YEAR(calls[[#This Row],[Date of Call]])+1)</f>
        <v>2025</v>
      </c>
      <c r="J87" t="str">
        <f>TEXT(calls[[#This Row],[Date of Call]],"DDDD")</f>
        <v>Saturday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159</v>
      </c>
      <c r="C88" t="s">
        <v>47</v>
      </c>
      <c r="D88">
        <v>137</v>
      </c>
      <c r="E88" s="17" t="s">
        <v>37</v>
      </c>
      <c r="F88" s="18">
        <v>45689</v>
      </c>
      <c r="G88">
        <v>90</v>
      </c>
      <c r="H88">
        <v>4.0999999999999996</v>
      </c>
      <c r="I88">
        <f>IF(MONTH(calls[[#This Row],[Date of Call]])&lt;=6, YEAR(calls[[#This Row],[Date of Call]]), YEAR(calls[[#This Row],[Date of Call]])+1)</f>
        <v>2025</v>
      </c>
      <c r="J88" t="str">
        <f>TEXT(calls[[#This Row],[Date of Call]],"DDDD")</f>
        <v>Saturday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160</v>
      </c>
      <c r="C89" t="s">
        <v>59</v>
      </c>
      <c r="D89">
        <v>99</v>
      </c>
      <c r="E89" s="17" t="s">
        <v>38</v>
      </c>
      <c r="F89" s="18">
        <v>45690</v>
      </c>
      <c r="G89">
        <v>112</v>
      </c>
      <c r="H89">
        <v>4.9000000000000004</v>
      </c>
      <c r="I89">
        <f>IF(MONTH(calls[[#This Row],[Date of Call]])&lt;=6, YEAR(calls[[#This Row],[Date of Call]]), YEAR(calls[[#This Row],[Date of Call]])+1)</f>
        <v>2025</v>
      </c>
      <c r="J89" t="str">
        <f>TEXT(calls[[#This Row],[Date of Call]],"DDDD")</f>
        <v>Sunday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161</v>
      </c>
      <c r="C90" t="s">
        <v>54</v>
      </c>
      <c r="D90">
        <v>100</v>
      </c>
      <c r="E90" s="17" t="s">
        <v>38</v>
      </c>
      <c r="F90" s="18">
        <v>45690</v>
      </c>
      <c r="G90">
        <v>135</v>
      </c>
      <c r="H90">
        <v>4</v>
      </c>
      <c r="I90">
        <f>IF(MONTH(calls[[#This Row],[Date of Call]])&lt;=6, YEAR(calls[[#This Row],[Date of Call]]), YEAR(calls[[#This Row],[Date of Call]])+1)</f>
        <v>2025</v>
      </c>
      <c r="J90" t="str">
        <f>TEXT(calls[[#This Row],[Date of Call]],"DDDD")</f>
        <v>Sunday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162</v>
      </c>
      <c r="C91" t="s">
        <v>46</v>
      </c>
      <c r="D91">
        <v>47</v>
      </c>
      <c r="E91" s="17" t="s">
        <v>35</v>
      </c>
      <c r="F91" s="18">
        <v>45690</v>
      </c>
      <c r="G91">
        <v>34</v>
      </c>
      <c r="H91">
        <v>2.1</v>
      </c>
      <c r="I91">
        <f>IF(MONTH(calls[[#This Row],[Date of Call]])&lt;=6, YEAR(calls[[#This Row],[Date of Call]]), YEAR(calls[[#This Row],[Date of Call]])+1)</f>
        <v>2025</v>
      </c>
      <c r="J91" t="str">
        <f>TEXT(calls[[#This Row],[Date of Call]],"DDDD")</f>
        <v>Sunday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163</v>
      </c>
      <c r="C92" t="s">
        <v>51</v>
      </c>
      <c r="D92">
        <v>87</v>
      </c>
      <c r="E92" s="17" t="s">
        <v>34</v>
      </c>
      <c r="F92" s="18">
        <v>45690</v>
      </c>
      <c r="G92">
        <v>155</v>
      </c>
      <c r="H92">
        <v>4.5</v>
      </c>
      <c r="I92">
        <f>IF(MONTH(calls[[#This Row],[Date of Call]])&lt;=6, YEAR(calls[[#This Row],[Date of Call]]), YEAR(calls[[#This Row],[Date of Call]])+1)</f>
        <v>2025</v>
      </c>
      <c r="J92" t="str">
        <f>TEXT(calls[[#This Row],[Date of Call]],"DDDD")</f>
        <v>Sunday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164</v>
      </c>
      <c r="C93" t="s">
        <v>59</v>
      </c>
      <c r="D93">
        <v>143</v>
      </c>
      <c r="E93" s="17" t="s">
        <v>34</v>
      </c>
      <c r="F93" s="18">
        <v>45692</v>
      </c>
      <c r="G93">
        <v>124</v>
      </c>
      <c r="H93">
        <v>4.9000000000000004</v>
      </c>
      <c r="I93">
        <f>IF(MONTH(calls[[#This Row],[Date of Call]])&lt;=6, YEAR(calls[[#This Row],[Date of Call]]), YEAR(calls[[#This Row],[Date of Call]])+1)</f>
        <v>2025</v>
      </c>
      <c r="J93" t="str">
        <f>TEXT(calls[[#This Row],[Date of Call]],"DDDD")</f>
        <v>Tuesday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165</v>
      </c>
      <c r="C94" t="s">
        <v>54</v>
      </c>
      <c r="D94">
        <v>84</v>
      </c>
      <c r="E94" s="17" t="s">
        <v>38</v>
      </c>
      <c r="F94" s="18">
        <v>45692</v>
      </c>
      <c r="G94">
        <v>195</v>
      </c>
      <c r="H94">
        <v>4.0999999999999996</v>
      </c>
      <c r="I94">
        <f>IF(MONTH(calls[[#This Row],[Date of Call]])&lt;=6, YEAR(calls[[#This Row],[Date of Call]]), YEAR(calls[[#This Row],[Date of Call]])+1)</f>
        <v>2025</v>
      </c>
      <c r="J94" t="str">
        <f>TEXT(calls[[#This Row],[Date of Call]],"DDDD")</f>
        <v>Tuesday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166</v>
      </c>
      <c r="C95" t="s">
        <v>55</v>
      </c>
      <c r="D95">
        <v>55</v>
      </c>
      <c r="E95" s="17" t="s">
        <v>34</v>
      </c>
      <c r="F95" s="18">
        <v>45693</v>
      </c>
      <c r="G95">
        <v>78</v>
      </c>
      <c r="H95">
        <v>4.5</v>
      </c>
      <c r="I95">
        <f>IF(MONTH(calls[[#This Row],[Date of Call]])&lt;=6, YEAR(calls[[#This Row],[Date of Call]]), YEAR(calls[[#This Row],[Date of Call]])+1)</f>
        <v>2025</v>
      </c>
      <c r="J95" t="str">
        <f>TEXT(calls[[#This Row],[Date of Call]],"DDDD")</f>
        <v>Wednesday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167</v>
      </c>
      <c r="C96" t="s">
        <v>50</v>
      </c>
      <c r="D96">
        <v>135</v>
      </c>
      <c r="E96" s="17" t="s">
        <v>37</v>
      </c>
      <c r="F96" s="18">
        <v>45695</v>
      </c>
      <c r="G96">
        <v>35</v>
      </c>
      <c r="H96">
        <v>4.8</v>
      </c>
      <c r="I96">
        <f>IF(MONTH(calls[[#This Row],[Date of Call]])&lt;=6, YEAR(calls[[#This Row],[Date of Call]]), YEAR(calls[[#This Row],[Date of Call]])+1)</f>
        <v>2025</v>
      </c>
      <c r="J96" t="str">
        <f>TEXT(calls[[#This Row],[Date of Call]],"DDDD")</f>
        <v>Friday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168</v>
      </c>
      <c r="C97" t="s">
        <v>48</v>
      </c>
      <c r="D97">
        <v>152</v>
      </c>
      <c r="E97" s="17" t="s">
        <v>35</v>
      </c>
      <c r="F97" s="18">
        <v>45695</v>
      </c>
      <c r="G97">
        <v>123</v>
      </c>
      <c r="H97">
        <v>4.5999999999999996</v>
      </c>
      <c r="I97">
        <f>IF(MONTH(calls[[#This Row],[Date of Call]])&lt;=6, YEAR(calls[[#This Row],[Date of Call]]), YEAR(calls[[#This Row],[Date of Call]])+1)</f>
        <v>2025</v>
      </c>
      <c r="J97" t="str">
        <f>TEXT(calls[[#This Row],[Date of Call]],"DDDD")</f>
        <v>Friday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169</v>
      </c>
      <c r="C98" t="s">
        <v>56</v>
      </c>
      <c r="D98">
        <v>132</v>
      </c>
      <c r="E98" s="17" t="s">
        <v>35</v>
      </c>
      <c r="F98" s="18">
        <v>45695</v>
      </c>
      <c r="G98">
        <v>43</v>
      </c>
      <c r="H98">
        <v>4.5999999999999996</v>
      </c>
      <c r="I98">
        <f>IF(MONTH(calls[[#This Row],[Date of Call]])&lt;=6, YEAR(calls[[#This Row],[Date of Call]]), YEAR(calls[[#This Row],[Date of Call]])+1)</f>
        <v>2025</v>
      </c>
      <c r="J98" t="str">
        <f>TEXT(calls[[#This Row],[Date of Call]],"DDDD")</f>
        <v>Friday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170</v>
      </c>
      <c r="C99" t="s">
        <v>57</v>
      </c>
      <c r="D99">
        <v>60</v>
      </c>
      <c r="E99" s="17" t="s">
        <v>38</v>
      </c>
      <c r="F99" s="18">
        <v>45696</v>
      </c>
      <c r="G99">
        <v>69</v>
      </c>
      <c r="H99">
        <v>4.3</v>
      </c>
      <c r="I99">
        <f>IF(MONTH(calls[[#This Row],[Date of Call]])&lt;=6, YEAR(calls[[#This Row],[Date of Call]]), YEAR(calls[[#This Row],[Date of Call]])+1)</f>
        <v>2025</v>
      </c>
      <c r="J99" t="str">
        <f>TEXT(calls[[#This Row],[Date of Call]],"DDDD")</f>
        <v>Saturday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171</v>
      </c>
      <c r="C100" t="s">
        <v>48</v>
      </c>
      <c r="D100">
        <v>95</v>
      </c>
      <c r="E100" s="17" t="s">
        <v>35</v>
      </c>
      <c r="F100" s="18">
        <v>45696</v>
      </c>
      <c r="G100">
        <v>130</v>
      </c>
      <c r="H100">
        <v>5</v>
      </c>
      <c r="I100">
        <f>IF(MONTH(calls[[#This Row],[Date of Call]])&lt;=6, YEAR(calls[[#This Row],[Date of Call]]), YEAR(calls[[#This Row],[Date of Call]])+1)</f>
        <v>2025</v>
      </c>
      <c r="J100" t="str">
        <f>TEXT(calls[[#This Row],[Date of Call]],"DDDD")</f>
        <v>Saturday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172</v>
      </c>
      <c r="C101" t="s">
        <v>45</v>
      </c>
      <c r="D101">
        <v>96</v>
      </c>
      <c r="E101" s="17" t="s">
        <v>36</v>
      </c>
      <c r="F101" s="18">
        <v>45696</v>
      </c>
      <c r="G101">
        <v>120</v>
      </c>
      <c r="H101">
        <v>4</v>
      </c>
      <c r="I101">
        <f>IF(MONTH(calls[[#This Row],[Date of Call]])&lt;=6, YEAR(calls[[#This Row],[Date of Call]]), YEAR(calls[[#This Row],[Date of Call]])+1)</f>
        <v>2025</v>
      </c>
      <c r="J101" t="str">
        <f>TEXT(calls[[#This Row],[Date of Call]],"DDDD")</f>
        <v>Saturday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173</v>
      </c>
      <c r="C102" t="s">
        <v>55</v>
      </c>
      <c r="D102">
        <v>45</v>
      </c>
      <c r="E102" s="17" t="s">
        <v>38</v>
      </c>
      <c r="F102" s="18">
        <v>45697</v>
      </c>
      <c r="G102">
        <v>84</v>
      </c>
      <c r="H102">
        <v>4.5999999999999996</v>
      </c>
      <c r="I102">
        <f>IF(MONTH(calls[[#This Row],[Date of Call]])&lt;=6, YEAR(calls[[#This Row],[Date of Call]]), YEAR(calls[[#This Row],[Date of Call]])+1)</f>
        <v>2025</v>
      </c>
      <c r="J102" t="str">
        <f>TEXT(calls[[#This Row],[Date of Call]],"DDDD")</f>
        <v>Sunday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174</v>
      </c>
      <c r="C103" t="s">
        <v>45</v>
      </c>
      <c r="D103">
        <v>132</v>
      </c>
      <c r="E103" s="17" t="s">
        <v>36</v>
      </c>
      <c r="F103" s="18">
        <v>45698</v>
      </c>
      <c r="G103">
        <v>112</v>
      </c>
      <c r="H103">
        <v>4.5</v>
      </c>
      <c r="I103">
        <f>IF(MONTH(calls[[#This Row],[Date of Call]])&lt;=6, YEAR(calls[[#This Row],[Date of Call]]), YEAR(calls[[#This Row],[Date of Call]])+1)</f>
        <v>2025</v>
      </c>
      <c r="J103" t="str">
        <f>TEXT(calls[[#This Row],[Date of Call]],"DDDD")</f>
        <v>Monday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175</v>
      </c>
      <c r="C104" t="s">
        <v>53</v>
      </c>
      <c r="D104">
        <v>95</v>
      </c>
      <c r="E104" s="17" t="s">
        <v>38</v>
      </c>
      <c r="F104" s="18">
        <v>45698</v>
      </c>
      <c r="G104">
        <v>66</v>
      </c>
      <c r="H104">
        <v>4.5999999999999996</v>
      </c>
      <c r="I104">
        <f>IF(MONTH(calls[[#This Row],[Date of Call]])&lt;=6, YEAR(calls[[#This Row],[Date of Call]]), YEAR(calls[[#This Row],[Date of Call]])+1)</f>
        <v>2025</v>
      </c>
      <c r="J104" t="str">
        <f>TEXT(calls[[#This Row],[Date of Call]],"DDDD")</f>
        <v>Monday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176</v>
      </c>
      <c r="C105" t="s">
        <v>48</v>
      </c>
      <c r="D105">
        <v>131</v>
      </c>
      <c r="E105" s="17" t="s">
        <v>34</v>
      </c>
      <c r="F105" s="18">
        <v>45698</v>
      </c>
      <c r="G105">
        <v>172</v>
      </c>
      <c r="H105">
        <v>2.6</v>
      </c>
      <c r="I105">
        <f>IF(MONTH(calls[[#This Row],[Date of Call]])&lt;=6, YEAR(calls[[#This Row],[Date of Call]]), YEAR(calls[[#This Row],[Date of Call]])+1)</f>
        <v>2025</v>
      </c>
      <c r="J105" t="str">
        <f>TEXT(calls[[#This Row],[Date of Call]],"DDDD")</f>
        <v>Monday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177</v>
      </c>
      <c r="C106" t="s">
        <v>58</v>
      </c>
      <c r="D106">
        <v>67</v>
      </c>
      <c r="E106" s="17" t="s">
        <v>37</v>
      </c>
      <c r="F106" s="18">
        <v>45699</v>
      </c>
      <c r="G106">
        <v>24</v>
      </c>
      <c r="H106">
        <v>4.3</v>
      </c>
      <c r="I106">
        <f>IF(MONTH(calls[[#This Row],[Date of Call]])&lt;=6, YEAR(calls[[#This Row],[Date of Call]]), YEAR(calls[[#This Row],[Date of Call]])+1)</f>
        <v>2025</v>
      </c>
      <c r="J106" t="str">
        <f>TEXT(calls[[#This Row],[Date of Call]],"DDDD")</f>
        <v>Tuesday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178</v>
      </c>
      <c r="C107" t="s">
        <v>59</v>
      </c>
      <c r="D107">
        <v>111</v>
      </c>
      <c r="E107" s="17" t="s">
        <v>34</v>
      </c>
      <c r="F107" s="18">
        <v>45700</v>
      </c>
      <c r="G107">
        <v>43</v>
      </c>
      <c r="H107">
        <v>3.9</v>
      </c>
      <c r="I107">
        <f>IF(MONTH(calls[[#This Row],[Date of Call]])&lt;=6, YEAR(calls[[#This Row],[Date of Call]]), YEAR(calls[[#This Row],[Date of Call]])+1)</f>
        <v>2025</v>
      </c>
      <c r="J107" t="str">
        <f>TEXT(calls[[#This Row],[Date of Call]],"DDDD")</f>
        <v>Wednesday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179</v>
      </c>
      <c r="C108" t="s">
        <v>56</v>
      </c>
      <c r="D108">
        <v>78</v>
      </c>
      <c r="E108" s="17" t="s">
        <v>35</v>
      </c>
      <c r="F108" s="18">
        <v>45700</v>
      </c>
      <c r="G108">
        <v>23</v>
      </c>
      <c r="H108">
        <v>5</v>
      </c>
      <c r="I108">
        <f>IF(MONTH(calls[[#This Row],[Date of Call]])&lt;=6, YEAR(calls[[#This Row],[Date of Call]]), YEAR(calls[[#This Row],[Date of Call]])+1)</f>
        <v>2025</v>
      </c>
      <c r="J108" t="str">
        <f>TEXT(calls[[#This Row],[Date of Call]],"DDDD")</f>
        <v>Wednesday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180</v>
      </c>
      <c r="C109" t="s">
        <v>49</v>
      </c>
      <c r="D109">
        <v>28</v>
      </c>
      <c r="E109" s="17" t="s">
        <v>36</v>
      </c>
      <c r="F109" s="18">
        <v>45700</v>
      </c>
      <c r="G109">
        <v>74</v>
      </c>
      <c r="H109">
        <v>3.5</v>
      </c>
      <c r="I109">
        <f>IF(MONTH(calls[[#This Row],[Date of Call]])&lt;=6, YEAR(calls[[#This Row],[Date of Call]]), YEAR(calls[[#This Row],[Date of Call]])+1)</f>
        <v>2025</v>
      </c>
      <c r="J109" t="str">
        <f>TEXT(calls[[#This Row],[Date of Call]],"DDDD")</f>
        <v>Wednesday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181</v>
      </c>
      <c r="C110" t="s">
        <v>46</v>
      </c>
      <c r="D110">
        <v>127</v>
      </c>
      <c r="E110" s="17" t="s">
        <v>37</v>
      </c>
      <c r="F110" s="18">
        <v>45701</v>
      </c>
      <c r="G110">
        <v>165</v>
      </c>
      <c r="H110">
        <v>4.7</v>
      </c>
      <c r="I110">
        <f>IF(MONTH(calls[[#This Row],[Date of Call]])&lt;=6, YEAR(calls[[#This Row],[Date of Call]]), YEAR(calls[[#This Row],[Date of Call]])+1)</f>
        <v>2025</v>
      </c>
      <c r="J110" t="str">
        <f>TEXT(calls[[#This Row],[Date of Call]],"DDDD")</f>
        <v>Thursday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182</v>
      </c>
      <c r="C111" t="s">
        <v>54</v>
      </c>
      <c r="D111">
        <v>137</v>
      </c>
      <c r="E111" s="17" t="s">
        <v>34</v>
      </c>
      <c r="F111" s="18">
        <v>45701</v>
      </c>
      <c r="G111">
        <v>34</v>
      </c>
      <c r="H111">
        <v>2.9</v>
      </c>
      <c r="I111">
        <f>IF(MONTH(calls[[#This Row],[Date of Call]])&lt;=6, YEAR(calls[[#This Row],[Date of Call]]), YEAR(calls[[#This Row],[Date of Call]])+1)</f>
        <v>2025</v>
      </c>
      <c r="J111" t="str">
        <f>TEXT(calls[[#This Row],[Date of Call]],"DDDD")</f>
        <v>Thursday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183</v>
      </c>
      <c r="C112" t="s">
        <v>46</v>
      </c>
      <c r="D112">
        <v>76</v>
      </c>
      <c r="E112" s="17" t="s">
        <v>36</v>
      </c>
      <c r="F112" s="18">
        <v>45701</v>
      </c>
      <c r="G112">
        <v>64</v>
      </c>
      <c r="H112">
        <v>3.4</v>
      </c>
      <c r="I112">
        <f>IF(MONTH(calls[[#This Row],[Date of Call]])&lt;=6, YEAR(calls[[#This Row],[Date of Call]]), YEAR(calls[[#This Row],[Date of Call]])+1)</f>
        <v>2025</v>
      </c>
      <c r="J112" t="str">
        <f>TEXT(calls[[#This Row],[Date of Call]],"DDDD")</f>
        <v>Thursday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184</v>
      </c>
      <c r="C113" t="s">
        <v>56</v>
      </c>
      <c r="D113">
        <v>80</v>
      </c>
      <c r="E113" s="17" t="s">
        <v>37</v>
      </c>
      <c r="F113" s="18">
        <v>45702</v>
      </c>
      <c r="G113">
        <v>155</v>
      </c>
      <c r="H113">
        <v>3.2</v>
      </c>
      <c r="I113">
        <f>IF(MONTH(calls[[#This Row],[Date of Call]])&lt;=6, YEAR(calls[[#This Row],[Date of Call]]), YEAR(calls[[#This Row],[Date of Call]])+1)</f>
        <v>2025</v>
      </c>
      <c r="J113" t="str">
        <f>TEXT(calls[[#This Row],[Date of Call]],"DDDD")</f>
        <v>Friday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185</v>
      </c>
      <c r="C114" t="s">
        <v>46</v>
      </c>
      <c r="D114">
        <v>95</v>
      </c>
      <c r="E114" s="17" t="s">
        <v>35</v>
      </c>
      <c r="F114" s="18">
        <v>45703</v>
      </c>
      <c r="G114">
        <v>120</v>
      </c>
      <c r="H114">
        <v>4.8</v>
      </c>
      <c r="I114">
        <f>IF(MONTH(calls[[#This Row],[Date of Call]])&lt;=6, YEAR(calls[[#This Row],[Date of Call]]), YEAR(calls[[#This Row],[Date of Call]])+1)</f>
        <v>2025</v>
      </c>
      <c r="J114" t="str">
        <f>TEXT(calls[[#This Row],[Date of Call]],"DDDD")</f>
        <v>Saturday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186</v>
      </c>
      <c r="C115" t="s">
        <v>57</v>
      </c>
      <c r="D115">
        <v>30</v>
      </c>
      <c r="E115" s="17" t="s">
        <v>36</v>
      </c>
      <c r="F115" s="18">
        <v>45703</v>
      </c>
      <c r="G115">
        <v>105</v>
      </c>
      <c r="H115">
        <v>3.6</v>
      </c>
      <c r="I115">
        <f>IF(MONTH(calls[[#This Row],[Date of Call]])&lt;=6, YEAR(calls[[#This Row],[Date of Call]]), YEAR(calls[[#This Row],[Date of Call]])+1)</f>
        <v>2025</v>
      </c>
      <c r="J115" t="str">
        <f>TEXT(calls[[#This Row],[Date of Call]],"DDDD")</f>
        <v>Saturday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187</v>
      </c>
      <c r="C116" t="s">
        <v>47</v>
      </c>
      <c r="D116">
        <v>19</v>
      </c>
      <c r="E116" s="17" t="s">
        <v>34</v>
      </c>
      <c r="F116" s="18">
        <v>45703</v>
      </c>
      <c r="G116">
        <v>28</v>
      </c>
      <c r="H116">
        <v>4.9000000000000004</v>
      </c>
      <c r="I116">
        <f>IF(MONTH(calls[[#This Row],[Date of Call]])&lt;=6, YEAR(calls[[#This Row],[Date of Call]]), YEAR(calls[[#This Row],[Date of Call]])+1)</f>
        <v>2025</v>
      </c>
      <c r="J116" t="str">
        <f>TEXT(calls[[#This Row],[Date of Call]],"DDDD")</f>
        <v>Saturday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188</v>
      </c>
      <c r="C117" t="s">
        <v>52</v>
      </c>
      <c r="D117">
        <v>38</v>
      </c>
      <c r="E117" s="17" t="s">
        <v>37</v>
      </c>
      <c r="F117" s="18">
        <v>45703</v>
      </c>
      <c r="G117">
        <v>100</v>
      </c>
      <c r="H117">
        <v>4.8</v>
      </c>
      <c r="I117">
        <f>IF(MONTH(calls[[#This Row],[Date of Call]])&lt;=6, YEAR(calls[[#This Row],[Date of Call]]), YEAR(calls[[#This Row],[Date of Call]])+1)</f>
        <v>2025</v>
      </c>
      <c r="J117" t="str">
        <f>TEXT(calls[[#This Row],[Date of Call]],"DDDD")</f>
        <v>Saturday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189</v>
      </c>
      <c r="C118" t="s">
        <v>53</v>
      </c>
      <c r="D118">
        <v>55</v>
      </c>
      <c r="E118" s="17" t="s">
        <v>34</v>
      </c>
      <c r="F118" s="18">
        <v>45703</v>
      </c>
      <c r="G118">
        <v>23</v>
      </c>
      <c r="H118">
        <v>3.6</v>
      </c>
      <c r="I118">
        <f>IF(MONTH(calls[[#This Row],[Date of Call]])&lt;=6, YEAR(calls[[#This Row],[Date of Call]]), YEAR(calls[[#This Row],[Date of Call]])+1)</f>
        <v>2025</v>
      </c>
      <c r="J118" t="str">
        <f>TEXT(calls[[#This Row],[Date of Call]],"DDDD")</f>
        <v>Saturday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190</v>
      </c>
      <c r="C119" t="s">
        <v>58</v>
      </c>
      <c r="D119">
        <v>27</v>
      </c>
      <c r="E119" s="17" t="s">
        <v>36</v>
      </c>
      <c r="F119" s="18">
        <v>45704</v>
      </c>
      <c r="G119">
        <v>70</v>
      </c>
      <c r="H119">
        <v>3.9</v>
      </c>
      <c r="I119">
        <f>IF(MONTH(calls[[#This Row],[Date of Call]])&lt;=6, YEAR(calls[[#This Row],[Date of Call]]), YEAR(calls[[#This Row],[Date of Call]])+1)</f>
        <v>2025</v>
      </c>
      <c r="J119" t="str">
        <f>TEXT(calls[[#This Row],[Date of Call]],"DDDD")</f>
        <v>Sunday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191</v>
      </c>
      <c r="C120" t="s">
        <v>58</v>
      </c>
      <c r="D120">
        <v>32</v>
      </c>
      <c r="E120" s="17" t="s">
        <v>36</v>
      </c>
      <c r="F120" s="18">
        <v>45704</v>
      </c>
      <c r="G120">
        <v>37</v>
      </c>
      <c r="H120">
        <v>1.9</v>
      </c>
      <c r="I120">
        <f>IF(MONTH(calls[[#This Row],[Date of Call]])&lt;=6, YEAR(calls[[#This Row],[Date of Call]]), YEAR(calls[[#This Row],[Date of Call]])+1)</f>
        <v>2025</v>
      </c>
      <c r="J120" t="str">
        <f>TEXT(calls[[#This Row],[Date of Call]],"DDDD")</f>
        <v>Sunday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192</v>
      </c>
      <c r="C121" t="s">
        <v>49</v>
      </c>
      <c r="D121">
        <v>116</v>
      </c>
      <c r="E121" s="17" t="s">
        <v>38</v>
      </c>
      <c r="F121" s="18">
        <v>45704</v>
      </c>
      <c r="G121">
        <v>140</v>
      </c>
      <c r="H121">
        <v>3.6</v>
      </c>
      <c r="I121">
        <f>IF(MONTH(calls[[#This Row],[Date of Call]])&lt;=6, YEAR(calls[[#This Row],[Date of Call]]), YEAR(calls[[#This Row],[Date of Call]])+1)</f>
        <v>2025</v>
      </c>
      <c r="J121" t="str">
        <f>TEXT(calls[[#This Row],[Date of Call]],"DDDD")</f>
        <v>Sunday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193</v>
      </c>
      <c r="C122" t="s">
        <v>45</v>
      </c>
      <c r="D122">
        <v>99</v>
      </c>
      <c r="E122" s="17" t="s">
        <v>35</v>
      </c>
      <c r="F122" s="18">
        <v>45704</v>
      </c>
      <c r="G122">
        <v>78</v>
      </c>
      <c r="H122">
        <v>4.0999999999999996</v>
      </c>
      <c r="I122">
        <f>IF(MONTH(calls[[#This Row],[Date of Call]])&lt;=6, YEAR(calls[[#This Row],[Date of Call]]), YEAR(calls[[#This Row],[Date of Call]])+1)</f>
        <v>2025</v>
      </c>
      <c r="J122" t="str">
        <f>TEXT(calls[[#This Row],[Date of Call]],"DDDD")</f>
        <v>Sunday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194</v>
      </c>
      <c r="C123" t="s">
        <v>46</v>
      </c>
      <c r="D123">
        <v>75</v>
      </c>
      <c r="E123" s="17" t="s">
        <v>36</v>
      </c>
      <c r="F123" s="18">
        <v>45705</v>
      </c>
      <c r="G123">
        <v>21</v>
      </c>
      <c r="H123">
        <v>4.2</v>
      </c>
      <c r="I123">
        <f>IF(MONTH(calls[[#This Row],[Date of Call]])&lt;=6, YEAR(calls[[#This Row],[Date of Call]]), YEAR(calls[[#This Row],[Date of Call]])+1)</f>
        <v>2025</v>
      </c>
      <c r="J123" t="str">
        <f>TEXT(calls[[#This Row],[Date of Call]],"DDDD")</f>
        <v>Monday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195</v>
      </c>
      <c r="C124" t="s">
        <v>56</v>
      </c>
      <c r="D124">
        <v>57</v>
      </c>
      <c r="E124" s="17" t="s">
        <v>38</v>
      </c>
      <c r="F124" s="18">
        <v>45705</v>
      </c>
      <c r="G124">
        <v>88</v>
      </c>
      <c r="H124">
        <v>4.3</v>
      </c>
      <c r="I124">
        <f>IF(MONTH(calls[[#This Row],[Date of Call]])&lt;=6, YEAR(calls[[#This Row],[Date of Call]]), YEAR(calls[[#This Row],[Date of Call]])+1)</f>
        <v>2025</v>
      </c>
      <c r="J124" t="str">
        <f>TEXT(calls[[#This Row],[Date of Call]],"DDDD")</f>
        <v>Monday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196</v>
      </c>
      <c r="C125" t="s">
        <v>50</v>
      </c>
      <c r="D125">
        <v>155</v>
      </c>
      <c r="E125" s="17" t="s">
        <v>38</v>
      </c>
      <c r="F125" s="18">
        <v>45706</v>
      </c>
      <c r="G125">
        <v>180</v>
      </c>
      <c r="H125">
        <v>2.2000000000000002</v>
      </c>
      <c r="I125">
        <f>IF(MONTH(calls[[#This Row],[Date of Call]])&lt;=6, YEAR(calls[[#This Row],[Date of Call]]), YEAR(calls[[#This Row],[Date of Call]])+1)</f>
        <v>2025</v>
      </c>
      <c r="J125" t="str">
        <f>TEXT(calls[[#This Row],[Date of Call]],"DDDD")</f>
        <v>Tuesday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197</v>
      </c>
      <c r="C126" t="s">
        <v>45</v>
      </c>
      <c r="D126">
        <v>68</v>
      </c>
      <c r="E126" s="17" t="s">
        <v>35</v>
      </c>
      <c r="F126" s="18">
        <v>45706</v>
      </c>
      <c r="G126">
        <v>22</v>
      </c>
      <c r="H126">
        <v>3.3</v>
      </c>
      <c r="I126">
        <f>IF(MONTH(calls[[#This Row],[Date of Call]])&lt;=6, YEAR(calls[[#This Row],[Date of Call]]), YEAR(calls[[#This Row],[Date of Call]])+1)</f>
        <v>2025</v>
      </c>
      <c r="J126" t="str">
        <f>TEXT(calls[[#This Row],[Date of Call]],"DDDD")</f>
        <v>Tuesday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198</v>
      </c>
      <c r="C127" t="s">
        <v>52</v>
      </c>
      <c r="D127">
        <v>95</v>
      </c>
      <c r="E127" s="17" t="s">
        <v>35</v>
      </c>
      <c r="F127" s="18">
        <v>45706</v>
      </c>
      <c r="G127">
        <v>52</v>
      </c>
      <c r="H127">
        <v>4.8</v>
      </c>
      <c r="I127">
        <f>IF(MONTH(calls[[#This Row],[Date of Call]])&lt;=6, YEAR(calls[[#This Row],[Date of Call]]), YEAR(calls[[#This Row],[Date of Call]])+1)</f>
        <v>2025</v>
      </c>
      <c r="J127" t="str">
        <f>TEXT(calls[[#This Row],[Date of Call]],"DDDD")</f>
        <v>Tuesday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199</v>
      </c>
      <c r="C128" t="s">
        <v>54</v>
      </c>
      <c r="D128">
        <v>65</v>
      </c>
      <c r="E128" s="17" t="s">
        <v>38</v>
      </c>
      <c r="F128" s="18">
        <v>45707</v>
      </c>
      <c r="G128">
        <v>80</v>
      </c>
      <c r="H128">
        <v>4</v>
      </c>
      <c r="I128">
        <f>IF(MONTH(calls[[#This Row],[Date of Call]])&lt;=6, YEAR(calls[[#This Row],[Date of Call]]), YEAR(calls[[#This Row],[Date of Call]])+1)</f>
        <v>2025</v>
      </c>
      <c r="J128" t="str">
        <f>TEXT(calls[[#This Row],[Date of Call]],"DDDD")</f>
        <v>Wednesday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200</v>
      </c>
      <c r="C129" t="s">
        <v>47</v>
      </c>
      <c r="D129">
        <v>114</v>
      </c>
      <c r="E129" s="17" t="s">
        <v>34</v>
      </c>
      <c r="F129" s="18">
        <v>45707</v>
      </c>
      <c r="G129">
        <v>54</v>
      </c>
      <c r="H129">
        <v>1.1000000000000001</v>
      </c>
      <c r="I129">
        <f>IF(MONTH(calls[[#This Row],[Date of Call]])&lt;=6, YEAR(calls[[#This Row],[Date of Call]]), YEAR(calls[[#This Row],[Date of Call]])+1)</f>
        <v>2025</v>
      </c>
      <c r="J129" t="str">
        <f>TEXT(calls[[#This Row],[Date of Call]],"DDDD")</f>
        <v>Wednesday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201</v>
      </c>
      <c r="C130" t="s">
        <v>46</v>
      </c>
      <c r="D130">
        <v>155</v>
      </c>
      <c r="E130" s="17" t="s">
        <v>34</v>
      </c>
      <c r="F130" s="18">
        <v>45708</v>
      </c>
      <c r="G130">
        <v>80</v>
      </c>
      <c r="H130">
        <v>3.9</v>
      </c>
      <c r="I130">
        <f>IF(MONTH(calls[[#This Row],[Date of Call]])&lt;=6, YEAR(calls[[#This Row],[Date of Call]]), YEAR(calls[[#This Row],[Date of Call]])+1)</f>
        <v>2025</v>
      </c>
      <c r="J130" t="str">
        <f>TEXT(calls[[#This Row],[Date of Call]],"DDDD")</f>
        <v>Thursday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202</v>
      </c>
      <c r="C131" t="s">
        <v>54</v>
      </c>
      <c r="D131">
        <v>114</v>
      </c>
      <c r="E131" s="17" t="s">
        <v>38</v>
      </c>
      <c r="F131" s="18">
        <v>45709</v>
      </c>
      <c r="G131">
        <v>120</v>
      </c>
      <c r="H131">
        <v>1.8</v>
      </c>
      <c r="I131">
        <f>IF(MONTH(calls[[#This Row],[Date of Call]])&lt;=6, YEAR(calls[[#This Row],[Date of Call]]), YEAR(calls[[#This Row],[Date of Call]])+1)</f>
        <v>2025</v>
      </c>
      <c r="J131" t="str">
        <f>TEXT(calls[[#This Row],[Date of Call]],"DDDD")</f>
        <v>Friday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203</v>
      </c>
      <c r="C132" t="s">
        <v>50</v>
      </c>
      <c r="D132">
        <v>130</v>
      </c>
      <c r="E132" s="17" t="s">
        <v>37</v>
      </c>
      <c r="F132" s="18">
        <v>45709</v>
      </c>
      <c r="G132">
        <v>150</v>
      </c>
      <c r="H132">
        <v>1</v>
      </c>
      <c r="I132">
        <f>IF(MONTH(calls[[#This Row],[Date of Call]])&lt;=6, YEAR(calls[[#This Row],[Date of Call]]), YEAR(calls[[#This Row],[Date of Call]])+1)</f>
        <v>2025</v>
      </c>
      <c r="J132" t="str">
        <f>TEXT(calls[[#This Row],[Date of Call]],"DDDD")</f>
        <v>Friday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204</v>
      </c>
      <c r="C133" t="s">
        <v>46</v>
      </c>
      <c r="D133">
        <v>89</v>
      </c>
      <c r="E133" s="17" t="s">
        <v>38</v>
      </c>
      <c r="F133" s="18">
        <v>45709</v>
      </c>
      <c r="G133">
        <v>90</v>
      </c>
      <c r="H133">
        <v>4.3</v>
      </c>
      <c r="I133">
        <f>IF(MONTH(calls[[#This Row],[Date of Call]])&lt;=6, YEAR(calls[[#This Row],[Date of Call]]), YEAR(calls[[#This Row],[Date of Call]])+1)</f>
        <v>2025</v>
      </c>
      <c r="J133" t="str">
        <f>TEXT(calls[[#This Row],[Date of Call]],"DDDD")</f>
        <v>Friday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205</v>
      </c>
      <c r="C134" t="s">
        <v>55</v>
      </c>
      <c r="D134">
        <v>61</v>
      </c>
      <c r="E134" s="17" t="s">
        <v>36</v>
      </c>
      <c r="F134" s="18">
        <v>45710</v>
      </c>
      <c r="G134">
        <v>140</v>
      </c>
      <c r="H134">
        <v>3.4</v>
      </c>
      <c r="I134">
        <f>IF(MONTH(calls[[#This Row],[Date of Call]])&lt;=6, YEAR(calls[[#This Row],[Date of Call]]), YEAR(calls[[#This Row],[Date of Call]])+1)</f>
        <v>2025</v>
      </c>
      <c r="J134" t="str">
        <f>TEXT(calls[[#This Row],[Date of Call]],"DDDD")</f>
        <v>Saturday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206</v>
      </c>
      <c r="C135" t="s">
        <v>52</v>
      </c>
      <c r="D135">
        <v>154</v>
      </c>
      <c r="E135" s="17" t="s">
        <v>34</v>
      </c>
      <c r="F135" s="18">
        <v>45710</v>
      </c>
      <c r="G135">
        <v>22</v>
      </c>
      <c r="H135">
        <v>3.4</v>
      </c>
      <c r="I135">
        <f>IF(MONTH(calls[[#This Row],[Date of Call]])&lt;=6, YEAR(calls[[#This Row],[Date of Call]]), YEAR(calls[[#This Row],[Date of Call]])+1)</f>
        <v>2025</v>
      </c>
      <c r="J135" t="str">
        <f>TEXT(calls[[#This Row],[Date of Call]],"DDDD")</f>
        <v>Saturday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207</v>
      </c>
      <c r="C136" t="s">
        <v>54</v>
      </c>
      <c r="D136">
        <v>115</v>
      </c>
      <c r="E136" s="17" t="s">
        <v>37</v>
      </c>
      <c r="F136" s="18">
        <v>45711</v>
      </c>
      <c r="G136">
        <v>150</v>
      </c>
      <c r="H136">
        <v>4.0999999999999996</v>
      </c>
      <c r="I136">
        <f>IF(MONTH(calls[[#This Row],[Date of Call]])&lt;=6, YEAR(calls[[#This Row],[Date of Call]]), YEAR(calls[[#This Row],[Date of Call]])+1)</f>
        <v>2025</v>
      </c>
      <c r="J136" t="str">
        <f>TEXT(calls[[#This Row],[Date of Call]],"DDDD")</f>
        <v>Sunday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208</v>
      </c>
      <c r="C137" t="s">
        <v>51</v>
      </c>
      <c r="D137">
        <v>138</v>
      </c>
      <c r="E137" s="17" t="s">
        <v>35</v>
      </c>
      <c r="F137" s="18">
        <v>45712</v>
      </c>
      <c r="G137">
        <v>35</v>
      </c>
      <c r="H137">
        <v>4.8</v>
      </c>
      <c r="I137">
        <f>IF(MONTH(calls[[#This Row],[Date of Call]])&lt;=6, YEAR(calls[[#This Row],[Date of Call]]), YEAR(calls[[#This Row],[Date of Call]])+1)</f>
        <v>2025</v>
      </c>
      <c r="J137" t="str">
        <f>TEXT(calls[[#This Row],[Date of Call]],"DDDD")</f>
        <v>Monday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209</v>
      </c>
      <c r="C138" t="s">
        <v>59</v>
      </c>
      <c r="D138">
        <v>153</v>
      </c>
      <c r="E138" s="17" t="s">
        <v>38</v>
      </c>
      <c r="F138" s="18">
        <v>45712</v>
      </c>
      <c r="G138">
        <v>200</v>
      </c>
      <c r="H138">
        <v>2</v>
      </c>
      <c r="I138">
        <f>IF(MONTH(calls[[#This Row],[Date of Call]])&lt;=6, YEAR(calls[[#This Row],[Date of Call]]), YEAR(calls[[#This Row],[Date of Call]])+1)</f>
        <v>2025</v>
      </c>
      <c r="J138" t="str">
        <f>TEXT(calls[[#This Row],[Date of Call]],"DDDD")</f>
        <v>Monday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210</v>
      </c>
      <c r="C139" t="s">
        <v>54</v>
      </c>
      <c r="D139">
        <v>61</v>
      </c>
      <c r="E139" s="17" t="s">
        <v>36</v>
      </c>
      <c r="F139" s="18">
        <v>45713</v>
      </c>
      <c r="G139">
        <v>150</v>
      </c>
      <c r="H139">
        <v>4.5999999999999996</v>
      </c>
      <c r="I139">
        <f>IF(MONTH(calls[[#This Row],[Date of Call]])&lt;=6, YEAR(calls[[#This Row],[Date of Call]]), YEAR(calls[[#This Row],[Date of Call]])+1)</f>
        <v>2025</v>
      </c>
      <c r="J139" t="str">
        <f>TEXT(calls[[#This Row],[Date of Call]],"DDDD")</f>
        <v>Tuesday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211</v>
      </c>
      <c r="C140" t="s">
        <v>58</v>
      </c>
      <c r="D140">
        <v>62</v>
      </c>
      <c r="E140" s="17" t="s">
        <v>38</v>
      </c>
      <c r="F140" s="18">
        <v>45713</v>
      </c>
      <c r="G140">
        <v>21</v>
      </c>
      <c r="H140">
        <v>2.6</v>
      </c>
      <c r="I140">
        <f>IF(MONTH(calls[[#This Row],[Date of Call]])&lt;=6, YEAR(calls[[#This Row],[Date of Call]]), YEAR(calls[[#This Row],[Date of Call]])+1)</f>
        <v>2025</v>
      </c>
      <c r="J140" t="str">
        <f>TEXT(calls[[#This Row],[Date of Call]],"DDDD")</f>
        <v>Tuesday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212</v>
      </c>
      <c r="C141" t="s">
        <v>55</v>
      </c>
      <c r="D141">
        <v>151</v>
      </c>
      <c r="E141" s="17" t="s">
        <v>37</v>
      </c>
      <c r="F141" s="18">
        <v>45714</v>
      </c>
      <c r="G141">
        <v>46</v>
      </c>
      <c r="H141">
        <v>4.9000000000000004</v>
      </c>
      <c r="I141">
        <f>IF(MONTH(calls[[#This Row],[Date of Call]])&lt;=6, YEAR(calls[[#This Row],[Date of Call]]), YEAR(calls[[#This Row],[Date of Call]])+1)</f>
        <v>2025</v>
      </c>
      <c r="J141" t="str">
        <f>TEXT(calls[[#This Row],[Date of Call]],"DDDD")</f>
        <v>Wednesday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213</v>
      </c>
      <c r="C142" t="s">
        <v>48</v>
      </c>
      <c r="D142">
        <v>102</v>
      </c>
      <c r="E142" s="17" t="s">
        <v>34</v>
      </c>
      <c r="F142" s="18">
        <v>45714</v>
      </c>
      <c r="G142">
        <v>165</v>
      </c>
      <c r="H142">
        <v>2.7</v>
      </c>
      <c r="I142">
        <f>IF(MONTH(calls[[#This Row],[Date of Call]])&lt;=6, YEAR(calls[[#This Row],[Date of Call]]), YEAR(calls[[#This Row],[Date of Call]])+1)</f>
        <v>2025</v>
      </c>
      <c r="J142" t="str">
        <f>TEXT(calls[[#This Row],[Date of Call]],"DDDD")</f>
        <v>Wednesday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214</v>
      </c>
      <c r="C143" t="s">
        <v>57</v>
      </c>
      <c r="D143">
        <v>64</v>
      </c>
      <c r="E143" s="17" t="s">
        <v>38</v>
      </c>
      <c r="F143" s="18">
        <v>45714</v>
      </c>
      <c r="G143">
        <v>84</v>
      </c>
      <c r="H143">
        <v>4.0999999999999996</v>
      </c>
      <c r="I143">
        <f>IF(MONTH(calls[[#This Row],[Date of Call]])&lt;=6, YEAR(calls[[#This Row],[Date of Call]]), YEAR(calls[[#This Row],[Date of Call]])+1)</f>
        <v>2025</v>
      </c>
      <c r="J143" t="str">
        <f>TEXT(calls[[#This Row],[Date of Call]],"DDDD")</f>
        <v>Wednesday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215</v>
      </c>
      <c r="C144" t="s">
        <v>46</v>
      </c>
      <c r="D144">
        <v>6</v>
      </c>
      <c r="E144" s="17" t="s">
        <v>34</v>
      </c>
      <c r="F144" s="18">
        <v>45715</v>
      </c>
      <c r="G144">
        <v>102</v>
      </c>
      <c r="H144">
        <v>4.4000000000000004</v>
      </c>
      <c r="I144">
        <f>IF(MONTH(calls[[#This Row],[Date of Call]])&lt;=6, YEAR(calls[[#This Row],[Date of Call]]), YEAR(calls[[#This Row],[Date of Call]])+1)</f>
        <v>2025</v>
      </c>
      <c r="J144" t="str">
        <f>TEXT(calls[[#This Row],[Date of Call]],"DDDD")</f>
        <v>Thursday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216</v>
      </c>
      <c r="C145" t="s">
        <v>57</v>
      </c>
      <c r="D145">
        <v>129</v>
      </c>
      <c r="E145" s="17" t="s">
        <v>38</v>
      </c>
      <c r="F145" s="18">
        <v>45715</v>
      </c>
      <c r="G145">
        <v>180</v>
      </c>
      <c r="H145">
        <v>4.8</v>
      </c>
      <c r="I145">
        <f>IF(MONTH(calls[[#This Row],[Date of Call]])&lt;=6, YEAR(calls[[#This Row],[Date of Call]]), YEAR(calls[[#This Row],[Date of Call]])+1)</f>
        <v>2025</v>
      </c>
      <c r="J145" t="str">
        <f>TEXT(calls[[#This Row],[Date of Call]],"DDDD")</f>
        <v>Thursday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217</v>
      </c>
      <c r="C146" t="s">
        <v>58</v>
      </c>
      <c r="D146">
        <v>42</v>
      </c>
      <c r="E146" s="17" t="s">
        <v>37</v>
      </c>
      <c r="F146" s="18">
        <v>45716</v>
      </c>
      <c r="G146">
        <v>111</v>
      </c>
      <c r="H146">
        <v>3</v>
      </c>
      <c r="I146">
        <f>IF(MONTH(calls[[#This Row],[Date of Call]])&lt;=6, YEAR(calls[[#This Row],[Date of Call]]), YEAR(calls[[#This Row],[Date of Call]])+1)</f>
        <v>2025</v>
      </c>
      <c r="J146" t="str">
        <f>TEXT(calls[[#This Row],[Date of Call]],"DDDD")</f>
        <v>Friday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218</v>
      </c>
      <c r="C147" t="s">
        <v>58</v>
      </c>
      <c r="D147">
        <v>71</v>
      </c>
      <c r="E147" s="17" t="s">
        <v>36</v>
      </c>
      <c r="F147" s="18">
        <v>45716</v>
      </c>
      <c r="G147">
        <v>104</v>
      </c>
      <c r="H147">
        <v>3.1</v>
      </c>
      <c r="I147">
        <f>IF(MONTH(calls[[#This Row],[Date of Call]])&lt;=6, YEAR(calls[[#This Row],[Date of Call]]), YEAR(calls[[#This Row],[Date of Call]])+1)</f>
        <v>2025</v>
      </c>
      <c r="J147" t="str">
        <f>TEXT(calls[[#This Row],[Date of Call]],"DDDD")</f>
        <v>Friday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219</v>
      </c>
      <c r="C148" t="s">
        <v>56</v>
      </c>
      <c r="D148">
        <v>53</v>
      </c>
      <c r="E148" s="17" t="s">
        <v>34</v>
      </c>
      <c r="F148" s="18">
        <v>45716</v>
      </c>
      <c r="G148">
        <v>80</v>
      </c>
      <c r="H148">
        <v>2.6</v>
      </c>
      <c r="I148">
        <f>IF(MONTH(calls[[#This Row],[Date of Call]])&lt;=6, YEAR(calls[[#This Row],[Date of Call]]), YEAR(calls[[#This Row],[Date of Call]])+1)</f>
        <v>2025</v>
      </c>
      <c r="J148" t="str">
        <f>TEXT(calls[[#This Row],[Date of Call]],"DDDD")</f>
        <v>Friday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220</v>
      </c>
      <c r="C149" t="s">
        <v>47</v>
      </c>
      <c r="D149">
        <v>155</v>
      </c>
      <c r="E149" s="17" t="s">
        <v>36</v>
      </c>
      <c r="F149" s="18">
        <v>45717</v>
      </c>
      <c r="G149">
        <v>132</v>
      </c>
      <c r="H149">
        <v>4.5999999999999996</v>
      </c>
      <c r="I149">
        <f>IF(MONTH(calls[[#This Row],[Date of Call]])&lt;=6, YEAR(calls[[#This Row],[Date of Call]]), YEAR(calls[[#This Row],[Date of Call]])+1)</f>
        <v>2025</v>
      </c>
      <c r="J149" t="str">
        <f>TEXT(calls[[#This Row],[Date of Call]],"DDDD")</f>
        <v>Saturday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221</v>
      </c>
      <c r="C150" t="s">
        <v>47</v>
      </c>
      <c r="D150">
        <v>90</v>
      </c>
      <c r="E150" s="17" t="s">
        <v>37</v>
      </c>
      <c r="F150" s="18">
        <v>45717</v>
      </c>
      <c r="G150">
        <v>170</v>
      </c>
      <c r="H150">
        <v>3.7</v>
      </c>
      <c r="I150">
        <f>IF(MONTH(calls[[#This Row],[Date of Call]])&lt;=6, YEAR(calls[[#This Row],[Date of Call]]), YEAR(calls[[#This Row],[Date of Call]])+1)</f>
        <v>2025</v>
      </c>
      <c r="J150" t="str">
        <f>TEXT(calls[[#This Row],[Date of Call]],"DDDD")</f>
        <v>Saturday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222</v>
      </c>
      <c r="C151" t="s">
        <v>57</v>
      </c>
      <c r="D151">
        <v>166</v>
      </c>
      <c r="E151" s="17" t="s">
        <v>35</v>
      </c>
      <c r="F151" s="18">
        <v>45717</v>
      </c>
      <c r="G151">
        <v>36</v>
      </c>
      <c r="H151">
        <v>3.8</v>
      </c>
      <c r="I151">
        <f>IF(MONTH(calls[[#This Row],[Date of Call]])&lt;=6, YEAR(calls[[#This Row],[Date of Call]]), YEAR(calls[[#This Row],[Date of Call]])+1)</f>
        <v>2025</v>
      </c>
      <c r="J151" t="str">
        <f>TEXT(calls[[#This Row],[Date of Call]],"DDDD")</f>
        <v>Saturday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223</v>
      </c>
      <c r="C152" t="s">
        <v>49</v>
      </c>
      <c r="D152">
        <v>89</v>
      </c>
      <c r="E152" s="17" t="s">
        <v>36</v>
      </c>
      <c r="F152" s="18">
        <v>45717</v>
      </c>
      <c r="G152">
        <v>126</v>
      </c>
      <c r="H152">
        <v>3.6</v>
      </c>
      <c r="I152">
        <f>IF(MONTH(calls[[#This Row],[Date of Call]])&lt;=6, YEAR(calls[[#This Row],[Date of Call]]), YEAR(calls[[#This Row],[Date of Call]])+1)</f>
        <v>2025</v>
      </c>
      <c r="J152" t="str">
        <f>TEXT(calls[[#This Row],[Date of Call]],"DDDD")</f>
        <v>Saturday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224</v>
      </c>
      <c r="C153" t="s">
        <v>54</v>
      </c>
      <c r="D153">
        <v>152</v>
      </c>
      <c r="E153" s="17" t="s">
        <v>34</v>
      </c>
      <c r="F153" s="18">
        <v>45717</v>
      </c>
      <c r="G153">
        <v>215</v>
      </c>
      <c r="H153">
        <v>4.4000000000000004</v>
      </c>
      <c r="I153">
        <f>IF(MONTH(calls[[#This Row],[Date of Call]])&lt;=6, YEAR(calls[[#This Row],[Date of Call]]), YEAR(calls[[#This Row],[Date of Call]])+1)</f>
        <v>2025</v>
      </c>
      <c r="J153" t="str">
        <f>TEXT(calls[[#This Row],[Date of Call]],"DDDD")</f>
        <v>Saturday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225</v>
      </c>
      <c r="C154" t="s">
        <v>49</v>
      </c>
      <c r="D154">
        <v>137</v>
      </c>
      <c r="E154" s="17" t="s">
        <v>37</v>
      </c>
      <c r="F154" s="18">
        <v>45717</v>
      </c>
      <c r="G154">
        <v>114</v>
      </c>
      <c r="H154">
        <v>3.2</v>
      </c>
      <c r="I154">
        <f>IF(MONTH(calls[[#This Row],[Date of Call]])&lt;=6, YEAR(calls[[#This Row],[Date of Call]]), YEAR(calls[[#This Row],[Date of Call]])+1)</f>
        <v>2025</v>
      </c>
      <c r="J154" t="str">
        <f>TEXT(calls[[#This Row],[Date of Call]],"DDDD")</f>
        <v>Saturday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226</v>
      </c>
      <c r="C155" t="s">
        <v>49</v>
      </c>
      <c r="D155">
        <v>43</v>
      </c>
      <c r="E155" s="17" t="s">
        <v>37</v>
      </c>
      <c r="F155" s="18">
        <v>45717</v>
      </c>
      <c r="G155">
        <v>99</v>
      </c>
      <c r="H155">
        <v>4.7</v>
      </c>
      <c r="I155">
        <f>IF(MONTH(calls[[#This Row],[Date of Call]])&lt;=6, YEAR(calls[[#This Row],[Date of Call]]), YEAR(calls[[#This Row],[Date of Call]])+1)</f>
        <v>2025</v>
      </c>
      <c r="J155" t="str">
        <f>TEXT(calls[[#This Row],[Date of Call]],"DDDD")</f>
        <v>Saturday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227</v>
      </c>
      <c r="C156" t="s">
        <v>52</v>
      </c>
      <c r="D156">
        <v>114</v>
      </c>
      <c r="E156" s="17" t="s">
        <v>37</v>
      </c>
      <c r="F156" s="18">
        <v>45718</v>
      </c>
      <c r="G156">
        <v>23</v>
      </c>
      <c r="H156">
        <v>4.8</v>
      </c>
      <c r="I156">
        <f>IF(MONTH(calls[[#This Row],[Date of Call]])&lt;=6, YEAR(calls[[#This Row],[Date of Call]]), YEAR(calls[[#This Row],[Date of Call]])+1)</f>
        <v>2025</v>
      </c>
      <c r="J156" t="str">
        <f>TEXT(calls[[#This Row],[Date of Call]],"DDDD")</f>
        <v>Sunday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228</v>
      </c>
      <c r="C157" t="s">
        <v>59</v>
      </c>
      <c r="D157">
        <v>103</v>
      </c>
      <c r="E157" s="17" t="s">
        <v>36</v>
      </c>
      <c r="F157" s="18">
        <v>45718</v>
      </c>
      <c r="G157">
        <v>75</v>
      </c>
      <c r="H157">
        <v>2.7</v>
      </c>
      <c r="I157">
        <f>IF(MONTH(calls[[#This Row],[Date of Call]])&lt;=6, YEAR(calls[[#This Row],[Date of Call]]), YEAR(calls[[#This Row],[Date of Call]])+1)</f>
        <v>2025</v>
      </c>
      <c r="J157" t="str">
        <f>TEXT(calls[[#This Row],[Date of Call]],"DDDD")</f>
        <v>Sunday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229</v>
      </c>
      <c r="C158" t="s">
        <v>49</v>
      </c>
      <c r="D158">
        <v>98</v>
      </c>
      <c r="E158" s="17" t="s">
        <v>34</v>
      </c>
      <c r="F158" s="18">
        <v>45718</v>
      </c>
      <c r="G158">
        <v>100</v>
      </c>
      <c r="H158">
        <v>3.8</v>
      </c>
      <c r="I158">
        <f>IF(MONTH(calls[[#This Row],[Date of Call]])&lt;=6, YEAR(calls[[#This Row],[Date of Call]]), YEAR(calls[[#This Row],[Date of Call]])+1)</f>
        <v>2025</v>
      </c>
      <c r="J158" t="str">
        <f>TEXT(calls[[#This Row],[Date of Call]],"DDDD")</f>
        <v>Sunday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230</v>
      </c>
      <c r="C159" t="s">
        <v>57</v>
      </c>
      <c r="D159">
        <v>106</v>
      </c>
      <c r="E159" s="17" t="s">
        <v>35</v>
      </c>
      <c r="F159" s="18">
        <v>45718</v>
      </c>
      <c r="G159">
        <v>108</v>
      </c>
      <c r="H159">
        <v>4.3</v>
      </c>
      <c r="I159">
        <f>IF(MONTH(calls[[#This Row],[Date of Call]])&lt;=6, YEAR(calls[[#This Row],[Date of Call]]), YEAR(calls[[#This Row],[Date of Call]])+1)</f>
        <v>2025</v>
      </c>
      <c r="J159" t="str">
        <f>TEXT(calls[[#This Row],[Date of Call]],"DDDD")</f>
        <v>Sunday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231</v>
      </c>
      <c r="C160" t="s">
        <v>46</v>
      </c>
      <c r="D160">
        <v>96</v>
      </c>
      <c r="E160" s="17" t="s">
        <v>35</v>
      </c>
      <c r="F160" s="18">
        <v>45718</v>
      </c>
      <c r="G160">
        <v>108</v>
      </c>
      <c r="H160">
        <v>5</v>
      </c>
      <c r="I160">
        <f>IF(MONTH(calls[[#This Row],[Date of Call]])&lt;=6, YEAR(calls[[#This Row],[Date of Call]]), YEAR(calls[[#This Row],[Date of Call]])+1)</f>
        <v>2025</v>
      </c>
      <c r="J160" t="str">
        <f>TEXT(calls[[#This Row],[Date of Call]],"DDDD")</f>
        <v>Sunday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232</v>
      </c>
      <c r="C161" t="s">
        <v>59</v>
      </c>
      <c r="D161">
        <v>70</v>
      </c>
      <c r="E161" s="17" t="s">
        <v>35</v>
      </c>
      <c r="F161" s="18">
        <v>45718</v>
      </c>
      <c r="G161">
        <v>28</v>
      </c>
      <c r="H161">
        <v>4.8</v>
      </c>
      <c r="I161">
        <f>IF(MONTH(calls[[#This Row],[Date of Call]])&lt;=6, YEAR(calls[[#This Row],[Date of Call]]), YEAR(calls[[#This Row],[Date of Call]])+1)</f>
        <v>2025</v>
      </c>
      <c r="J161" t="str">
        <f>TEXT(calls[[#This Row],[Date of Call]],"DDDD")</f>
        <v>Sunday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233</v>
      </c>
      <c r="C162" t="s">
        <v>58</v>
      </c>
      <c r="D162">
        <v>86</v>
      </c>
      <c r="E162" s="17" t="s">
        <v>38</v>
      </c>
      <c r="F162" s="18">
        <v>45719</v>
      </c>
      <c r="G162">
        <v>70</v>
      </c>
      <c r="H162">
        <v>4.9000000000000004</v>
      </c>
      <c r="I162">
        <f>IF(MONTH(calls[[#This Row],[Date of Call]])&lt;=6, YEAR(calls[[#This Row],[Date of Call]]), YEAR(calls[[#This Row],[Date of Call]])+1)</f>
        <v>2025</v>
      </c>
      <c r="J162" t="str">
        <f>TEXT(calls[[#This Row],[Date of Call]],"DDDD")</f>
        <v>Monday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234</v>
      </c>
      <c r="C163" t="s">
        <v>56</v>
      </c>
      <c r="D163">
        <v>64</v>
      </c>
      <c r="E163" s="17" t="s">
        <v>38</v>
      </c>
      <c r="F163" s="18">
        <v>45719</v>
      </c>
      <c r="G163">
        <v>172</v>
      </c>
      <c r="H163">
        <v>4.0999999999999996</v>
      </c>
      <c r="I163">
        <f>IF(MONTH(calls[[#This Row],[Date of Call]])&lt;=6, YEAR(calls[[#This Row],[Date of Call]]), YEAR(calls[[#This Row],[Date of Call]])+1)</f>
        <v>2025</v>
      </c>
      <c r="J163" t="str">
        <f>TEXT(calls[[#This Row],[Date of Call]],"DDDD")</f>
        <v>Monday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235</v>
      </c>
      <c r="C164" t="s">
        <v>46</v>
      </c>
      <c r="D164">
        <v>113</v>
      </c>
      <c r="E164" s="17" t="s">
        <v>34</v>
      </c>
      <c r="F164" s="18">
        <v>45719</v>
      </c>
      <c r="G164">
        <v>123</v>
      </c>
      <c r="H164">
        <v>4.4000000000000004</v>
      </c>
      <c r="I164">
        <f>IF(MONTH(calls[[#This Row],[Date of Call]])&lt;=6, YEAR(calls[[#This Row],[Date of Call]]), YEAR(calls[[#This Row],[Date of Call]])+1)</f>
        <v>2025</v>
      </c>
      <c r="J164" t="str">
        <f>TEXT(calls[[#This Row],[Date of Call]],"DDDD")</f>
        <v>Monday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236</v>
      </c>
      <c r="C165" t="s">
        <v>46</v>
      </c>
      <c r="D165">
        <v>21</v>
      </c>
      <c r="E165" s="17" t="s">
        <v>35</v>
      </c>
      <c r="F165" s="18">
        <v>45719</v>
      </c>
      <c r="G165">
        <v>93</v>
      </c>
      <c r="H165">
        <v>3.4</v>
      </c>
      <c r="I165">
        <f>IF(MONTH(calls[[#This Row],[Date of Call]])&lt;=6, YEAR(calls[[#This Row],[Date of Call]]), YEAR(calls[[#This Row],[Date of Call]])+1)</f>
        <v>2025</v>
      </c>
      <c r="J165" t="str">
        <f>TEXT(calls[[#This Row],[Date of Call]],"DDDD")</f>
        <v>Monday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237</v>
      </c>
      <c r="C166" t="s">
        <v>48</v>
      </c>
      <c r="D166">
        <v>107</v>
      </c>
      <c r="E166" s="17" t="s">
        <v>38</v>
      </c>
      <c r="F166" s="18">
        <v>45719</v>
      </c>
      <c r="G166">
        <v>66</v>
      </c>
      <c r="H166">
        <v>4</v>
      </c>
      <c r="I166">
        <f>IF(MONTH(calls[[#This Row],[Date of Call]])&lt;=6, YEAR(calls[[#This Row],[Date of Call]]), YEAR(calls[[#This Row],[Date of Call]])+1)</f>
        <v>2025</v>
      </c>
      <c r="J166" t="str">
        <f>TEXT(calls[[#This Row],[Date of Call]],"DDDD")</f>
        <v>Monday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238</v>
      </c>
      <c r="C167" t="s">
        <v>48</v>
      </c>
      <c r="D167">
        <v>131</v>
      </c>
      <c r="E167" s="17" t="s">
        <v>35</v>
      </c>
      <c r="F167" s="18">
        <v>45719</v>
      </c>
      <c r="G167">
        <v>39</v>
      </c>
      <c r="H167">
        <v>2.4</v>
      </c>
      <c r="I167">
        <f>IF(MONTH(calls[[#This Row],[Date of Call]])&lt;=6, YEAR(calls[[#This Row],[Date of Call]]), YEAR(calls[[#This Row],[Date of Call]])+1)</f>
        <v>2025</v>
      </c>
      <c r="J167" t="str">
        <f>TEXT(calls[[#This Row],[Date of Call]],"DDDD")</f>
        <v>Monday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239</v>
      </c>
      <c r="C168" t="s">
        <v>45</v>
      </c>
      <c r="D168">
        <v>11</v>
      </c>
      <c r="E168" s="17" t="s">
        <v>36</v>
      </c>
      <c r="F168" s="18">
        <v>45719</v>
      </c>
      <c r="G168">
        <v>25</v>
      </c>
      <c r="H168">
        <v>2.1</v>
      </c>
      <c r="I168">
        <f>IF(MONTH(calls[[#This Row],[Date of Call]])&lt;=6, YEAR(calls[[#This Row],[Date of Call]]), YEAR(calls[[#This Row],[Date of Call]])+1)</f>
        <v>2025</v>
      </c>
      <c r="J168" t="str">
        <f>TEXT(calls[[#This Row],[Date of Call]],"DDDD")</f>
        <v>Monday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240</v>
      </c>
      <c r="C169" t="s">
        <v>55</v>
      </c>
      <c r="D169">
        <v>86</v>
      </c>
      <c r="E169" s="17" t="s">
        <v>34</v>
      </c>
      <c r="F169" s="18">
        <v>45719</v>
      </c>
      <c r="G169">
        <v>68</v>
      </c>
      <c r="H169">
        <v>3</v>
      </c>
      <c r="I169">
        <f>IF(MONTH(calls[[#This Row],[Date of Call]])&lt;=6, YEAR(calls[[#This Row],[Date of Call]]), YEAR(calls[[#This Row],[Date of Call]])+1)</f>
        <v>2025</v>
      </c>
      <c r="J169" t="str">
        <f>TEXT(calls[[#This Row],[Date of Call]],"DDDD")</f>
        <v>Monday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241</v>
      </c>
      <c r="C170" t="s">
        <v>56</v>
      </c>
      <c r="D170">
        <v>28</v>
      </c>
      <c r="E170" s="17" t="s">
        <v>36</v>
      </c>
      <c r="F170" s="18">
        <v>45719</v>
      </c>
      <c r="G170">
        <v>84</v>
      </c>
      <c r="H170">
        <v>3.2</v>
      </c>
      <c r="I170">
        <f>IF(MONTH(calls[[#This Row],[Date of Call]])&lt;=6, YEAR(calls[[#This Row],[Date of Call]]), YEAR(calls[[#This Row],[Date of Call]])+1)</f>
        <v>2025</v>
      </c>
      <c r="J170" t="str">
        <f>TEXT(calls[[#This Row],[Date of Call]],"DDDD")</f>
        <v>Monday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242</v>
      </c>
      <c r="C171" t="s">
        <v>47</v>
      </c>
      <c r="D171">
        <v>139</v>
      </c>
      <c r="E171" s="17" t="s">
        <v>35</v>
      </c>
      <c r="F171" s="18">
        <v>45720</v>
      </c>
      <c r="G171">
        <v>88</v>
      </c>
      <c r="H171">
        <v>3.4</v>
      </c>
      <c r="I171">
        <f>IF(MONTH(calls[[#This Row],[Date of Call]])&lt;=6, YEAR(calls[[#This Row],[Date of Call]]), YEAR(calls[[#This Row],[Date of Call]])+1)</f>
        <v>2025</v>
      </c>
      <c r="J171" t="str">
        <f>TEXT(calls[[#This Row],[Date of Call]],"DDDD")</f>
        <v>Tuesday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243</v>
      </c>
      <c r="C172" t="s">
        <v>57</v>
      </c>
      <c r="D172">
        <v>82</v>
      </c>
      <c r="E172" s="17" t="s">
        <v>34</v>
      </c>
      <c r="F172" s="18">
        <v>45720</v>
      </c>
      <c r="G172">
        <v>93</v>
      </c>
      <c r="H172">
        <v>2.7</v>
      </c>
      <c r="I172">
        <f>IF(MONTH(calls[[#This Row],[Date of Call]])&lt;=6, YEAR(calls[[#This Row],[Date of Call]]), YEAR(calls[[#This Row],[Date of Call]])+1)</f>
        <v>2025</v>
      </c>
      <c r="J172" t="str">
        <f>TEXT(calls[[#This Row],[Date of Call]],"DDDD")</f>
        <v>Tuesday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244</v>
      </c>
      <c r="C173" t="s">
        <v>46</v>
      </c>
      <c r="D173">
        <v>101</v>
      </c>
      <c r="E173" s="17" t="s">
        <v>36</v>
      </c>
      <c r="F173" s="18">
        <v>45720</v>
      </c>
      <c r="G173">
        <v>128</v>
      </c>
      <c r="H173">
        <v>5</v>
      </c>
      <c r="I173">
        <f>IF(MONTH(calls[[#This Row],[Date of Call]])&lt;=6, YEAR(calls[[#This Row],[Date of Call]]), YEAR(calls[[#This Row],[Date of Call]])+1)</f>
        <v>2025</v>
      </c>
      <c r="J173" t="str">
        <f>TEXT(calls[[#This Row],[Date of Call]],"DDDD")</f>
        <v>Tuesday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245</v>
      </c>
      <c r="C174" t="s">
        <v>56</v>
      </c>
      <c r="D174">
        <v>75</v>
      </c>
      <c r="E174" s="17" t="s">
        <v>37</v>
      </c>
      <c r="F174" s="18">
        <v>45720</v>
      </c>
      <c r="G174">
        <v>40</v>
      </c>
      <c r="H174">
        <v>3.4</v>
      </c>
      <c r="I174">
        <f>IF(MONTH(calls[[#This Row],[Date of Call]])&lt;=6, YEAR(calls[[#This Row],[Date of Call]]), YEAR(calls[[#This Row],[Date of Call]])+1)</f>
        <v>2025</v>
      </c>
      <c r="J174" t="str">
        <f>TEXT(calls[[#This Row],[Date of Call]],"DDDD")</f>
        <v>Tuesday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246</v>
      </c>
      <c r="C175" t="s">
        <v>52</v>
      </c>
      <c r="D175">
        <v>40</v>
      </c>
      <c r="E175" s="17" t="s">
        <v>36</v>
      </c>
      <c r="F175" s="18">
        <v>45721</v>
      </c>
      <c r="G175">
        <v>92</v>
      </c>
      <c r="H175">
        <v>4.7</v>
      </c>
      <c r="I175">
        <f>IF(MONTH(calls[[#This Row],[Date of Call]])&lt;=6, YEAR(calls[[#This Row],[Date of Call]]), YEAR(calls[[#This Row],[Date of Call]])+1)</f>
        <v>2025</v>
      </c>
      <c r="J175" t="str">
        <f>TEXT(calls[[#This Row],[Date of Call]],"DDDD")</f>
        <v>Wednesday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247</v>
      </c>
      <c r="C176" t="s">
        <v>49</v>
      </c>
      <c r="D176">
        <v>86</v>
      </c>
      <c r="E176" s="17" t="s">
        <v>35</v>
      </c>
      <c r="F176" s="18">
        <v>45721</v>
      </c>
      <c r="G176">
        <v>27</v>
      </c>
      <c r="H176">
        <v>4.5</v>
      </c>
      <c r="I176">
        <f>IF(MONTH(calls[[#This Row],[Date of Call]])&lt;=6, YEAR(calls[[#This Row],[Date of Call]]), YEAR(calls[[#This Row],[Date of Call]])+1)</f>
        <v>2025</v>
      </c>
      <c r="J176" t="str">
        <f>TEXT(calls[[#This Row],[Date of Call]],"DDDD")</f>
        <v>Wednesday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248</v>
      </c>
      <c r="C177" t="s">
        <v>50</v>
      </c>
      <c r="D177">
        <v>131</v>
      </c>
      <c r="E177" s="17" t="s">
        <v>38</v>
      </c>
      <c r="F177" s="18">
        <v>45721</v>
      </c>
      <c r="G177">
        <v>140</v>
      </c>
      <c r="H177">
        <v>4.0999999999999996</v>
      </c>
      <c r="I177">
        <f>IF(MONTH(calls[[#This Row],[Date of Call]])&lt;=6, YEAR(calls[[#This Row],[Date of Call]]), YEAR(calls[[#This Row],[Date of Call]])+1)</f>
        <v>2025</v>
      </c>
      <c r="J177" t="str">
        <f>TEXT(calls[[#This Row],[Date of Call]],"DDDD")</f>
        <v>Wednesday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249</v>
      </c>
      <c r="C178" t="s">
        <v>48</v>
      </c>
      <c r="D178">
        <v>67</v>
      </c>
      <c r="E178" s="17" t="s">
        <v>34</v>
      </c>
      <c r="F178" s="18">
        <v>45721</v>
      </c>
      <c r="G178">
        <v>40</v>
      </c>
      <c r="H178">
        <v>5</v>
      </c>
      <c r="I178">
        <f>IF(MONTH(calls[[#This Row],[Date of Call]])&lt;=6, YEAR(calls[[#This Row],[Date of Call]]), YEAR(calls[[#This Row],[Date of Call]])+1)</f>
        <v>2025</v>
      </c>
      <c r="J178" t="str">
        <f>TEXT(calls[[#This Row],[Date of Call]],"DDDD")</f>
        <v>Wednesday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250</v>
      </c>
      <c r="C179" t="s">
        <v>51</v>
      </c>
      <c r="D179">
        <v>71</v>
      </c>
      <c r="E179" s="17" t="s">
        <v>36</v>
      </c>
      <c r="F179" s="18">
        <v>45721</v>
      </c>
      <c r="G179">
        <v>102</v>
      </c>
      <c r="H179">
        <v>4.7</v>
      </c>
      <c r="I179">
        <f>IF(MONTH(calls[[#This Row],[Date of Call]])&lt;=6, YEAR(calls[[#This Row],[Date of Call]]), YEAR(calls[[#This Row],[Date of Call]])+1)</f>
        <v>2025</v>
      </c>
      <c r="J179" t="str">
        <f>TEXT(calls[[#This Row],[Date of Call]],"DDDD")</f>
        <v>Wednesday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251</v>
      </c>
      <c r="C180" t="s">
        <v>50</v>
      </c>
      <c r="D180">
        <v>113</v>
      </c>
      <c r="E180" s="17" t="s">
        <v>38</v>
      </c>
      <c r="F180" s="18">
        <v>45721</v>
      </c>
      <c r="G180">
        <v>42</v>
      </c>
      <c r="H180">
        <v>4.2</v>
      </c>
      <c r="I180">
        <f>IF(MONTH(calls[[#This Row],[Date of Call]])&lt;=6, YEAR(calls[[#This Row],[Date of Call]]), YEAR(calls[[#This Row],[Date of Call]])+1)</f>
        <v>2025</v>
      </c>
      <c r="J180" t="str">
        <f>TEXT(calls[[#This Row],[Date of Call]],"DDDD")</f>
        <v>Wednesday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252</v>
      </c>
      <c r="C181" t="s">
        <v>57</v>
      </c>
      <c r="D181">
        <v>53</v>
      </c>
      <c r="E181" s="17" t="s">
        <v>35</v>
      </c>
      <c r="F181" s="18">
        <v>45722</v>
      </c>
      <c r="G181">
        <v>210</v>
      </c>
      <c r="H181">
        <v>3.9</v>
      </c>
      <c r="I181">
        <f>IF(MONTH(calls[[#This Row],[Date of Call]])&lt;=6, YEAR(calls[[#This Row],[Date of Call]]), YEAR(calls[[#This Row],[Date of Call]])+1)</f>
        <v>2025</v>
      </c>
      <c r="J181" t="str">
        <f>TEXT(calls[[#This Row],[Date of Call]],"DDDD")</f>
        <v>Thursday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253</v>
      </c>
      <c r="C182" t="s">
        <v>50</v>
      </c>
      <c r="D182">
        <v>153</v>
      </c>
      <c r="E182" s="17" t="s">
        <v>34</v>
      </c>
      <c r="F182" s="18">
        <v>45722</v>
      </c>
      <c r="G182">
        <v>34</v>
      </c>
      <c r="H182">
        <v>3</v>
      </c>
      <c r="I182">
        <f>IF(MONTH(calls[[#This Row],[Date of Call]])&lt;=6, YEAR(calls[[#This Row],[Date of Call]]), YEAR(calls[[#This Row],[Date of Call]])+1)</f>
        <v>2025</v>
      </c>
      <c r="J182" t="str">
        <f>TEXT(calls[[#This Row],[Date of Call]],"DDDD")</f>
        <v>Thursday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254</v>
      </c>
      <c r="C183" t="s">
        <v>48</v>
      </c>
      <c r="D183">
        <v>73</v>
      </c>
      <c r="E183" s="17" t="s">
        <v>37</v>
      </c>
      <c r="F183" s="18">
        <v>45722</v>
      </c>
      <c r="G183">
        <v>215</v>
      </c>
      <c r="H183">
        <v>3.6</v>
      </c>
      <c r="I183">
        <f>IF(MONTH(calls[[#This Row],[Date of Call]])&lt;=6, YEAR(calls[[#This Row],[Date of Call]]), YEAR(calls[[#This Row],[Date of Call]])+1)</f>
        <v>2025</v>
      </c>
      <c r="J183" t="str">
        <f>TEXT(calls[[#This Row],[Date of Call]],"DDDD")</f>
        <v>Thursday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255</v>
      </c>
      <c r="C184" t="s">
        <v>58</v>
      </c>
      <c r="D184">
        <v>62</v>
      </c>
      <c r="E184" s="17" t="s">
        <v>37</v>
      </c>
      <c r="F184" s="18">
        <v>45722</v>
      </c>
      <c r="G184">
        <v>32</v>
      </c>
      <c r="H184">
        <v>0.7</v>
      </c>
      <c r="I184">
        <f>IF(MONTH(calls[[#This Row],[Date of Call]])&lt;=6, YEAR(calls[[#This Row],[Date of Call]]), YEAR(calls[[#This Row],[Date of Call]])+1)</f>
        <v>2025</v>
      </c>
      <c r="J184" t="str">
        <f>TEXT(calls[[#This Row],[Date of Call]],"DDDD")</f>
        <v>Thursday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256</v>
      </c>
      <c r="C185" t="s">
        <v>47</v>
      </c>
      <c r="D185">
        <v>115</v>
      </c>
      <c r="E185" s="17" t="s">
        <v>35</v>
      </c>
      <c r="F185" s="18">
        <v>45723</v>
      </c>
      <c r="G185">
        <v>48</v>
      </c>
      <c r="H185">
        <v>4.7</v>
      </c>
      <c r="I185">
        <f>IF(MONTH(calls[[#This Row],[Date of Call]])&lt;=6, YEAR(calls[[#This Row],[Date of Call]]), YEAR(calls[[#This Row],[Date of Call]])+1)</f>
        <v>2025</v>
      </c>
      <c r="J185" t="str">
        <f>TEXT(calls[[#This Row],[Date of Call]],"DDDD")</f>
        <v>Friday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257</v>
      </c>
      <c r="C186" t="s">
        <v>50</v>
      </c>
      <c r="D186">
        <v>69</v>
      </c>
      <c r="E186" s="17" t="s">
        <v>35</v>
      </c>
      <c r="F186" s="18">
        <v>45723</v>
      </c>
      <c r="G186">
        <v>132</v>
      </c>
      <c r="H186">
        <v>4.5</v>
      </c>
      <c r="I186">
        <f>IF(MONTH(calls[[#This Row],[Date of Call]])&lt;=6, YEAR(calls[[#This Row],[Date of Call]]), YEAR(calls[[#This Row],[Date of Call]])+1)</f>
        <v>2025</v>
      </c>
      <c r="J186" t="str">
        <f>TEXT(calls[[#This Row],[Date of Call]],"DDDD")</f>
        <v>Friday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258</v>
      </c>
      <c r="C187" t="s">
        <v>49</v>
      </c>
      <c r="D187">
        <v>103</v>
      </c>
      <c r="E187" s="17" t="s">
        <v>38</v>
      </c>
      <c r="F187" s="18">
        <v>45723</v>
      </c>
      <c r="G187">
        <v>172</v>
      </c>
      <c r="H187">
        <v>4.3</v>
      </c>
      <c r="I187">
        <f>IF(MONTH(calls[[#This Row],[Date of Call]])&lt;=6, YEAR(calls[[#This Row],[Date of Call]]), YEAR(calls[[#This Row],[Date of Call]])+1)</f>
        <v>2025</v>
      </c>
      <c r="J187" t="str">
        <f>TEXT(calls[[#This Row],[Date of Call]],"DDDD")</f>
        <v>Friday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259</v>
      </c>
      <c r="C188" t="s">
        <v>49</v>
      </c>
      <c r="D188">
        <v>75</v>
      </c>
      <c r="E188" s="17" t="s">
        <v>38</v>
      </c>
      <c r="F188" s="18">
        <v>45723</v>
      </c>
      <c r="G188">
        <v>111</v>
      </c>
      <c r="H188">
        <v>3.4</v>
      </c>
      <c r="I188">
        <f>IF(MONTH(calls[[#This Row],[Date of Call]])&lt;=6, YEAR(calls[[#This Row],[Date of Call]]), YEAR(calls[[#This Row],[Date of Call]])+1)</f>
        <v>2025</v>
      </c>
      <c r="J188" t="str">
        <f>TEXT(calls[[#This Row],[Date of Call]],"DDDD")</f>
        <v>Friday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260</v>
      </c>
      <c r="C189" t="s">
        <v>53</v>
      </c>
      <c r="D189">
        <v>92</v>
      </c>
      <c r="E189" s="17" t="s">
        <v>38</v>
      </c>
      <c r="F189" s="18">
        <v>45723</v>
      </c>
      <c r="G189">
        <v>58</v>
      </c>
      <c r="H189">
        <v>3.6</v>
      </c>
      <c r="I189">
        <f>IF(MONTH(calls[[#This Row],[Date of Call]])&lt;=6, YEAR(calls[[#This Row],[Date of Call]]), YEAR(calls[[#This Row],[Date of Call]])+1)</f>
        <v>2025</v>
      </c>
      <c r="J189" t="str">
        <f>TEXT(calls[[#This Row],[Date of Call]],"DDDD")</f>
        <v>Friday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261</v>
      </c>
      <c r="C190" t="s">
        <v>53</v>
      </c>
      <c r="D190">
        <v>41</v>
      </c>
      <c r="E190" s="17" t="s">
        <v>37</v>
      </c>
      <c r="F190" s="18">
        <v>45723</v>
      </c>
      <c r="G190">
        <v>68</v>
      </c>
      <c r="H190">
        <v>4</v>
      </c>
      <c r="I190">
        <f>IF(MONTH(calls[[#This Row],[Date of Call]])&lt;=6, YEAR(calls[[#This Row],[Date of Call]]), YEAR(calls[[#This Row],[Date of Call]])+1)</f>
        <v>2025</v>
      </c>
      <c r="J190" t="str">
        <f>TEXT(calls[[#This Row],[Date of Call]],"DDDD")</f>
        <v>Friday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262</v>
      </c>
      <c r="C191" t="s">
        <v>49</v>
      </c>
      <c r="D191">
        <v>134</v>
      </c>
      <c r="E191" s="17" t="s">
        <v>34</v>
      </c>
      <c r="F191" s="18">
        <v>45723</v>
      </c>
      <c r="G191">
        <v>160</v>
      </c>
      <c r="H191">
        <v>4.5</v>
      </c>
      <c r="I191">
        <f>IF(MONTH(calls[[#This Row],[Date of Call]])&lt;=6, YEAR(calls[[#This Row],[Date of Call]]), YEAR(calls[[#This Row],[Date of Call]])+1)</f>
        <v>2025</v>
      </c>
      <c r="J191" t="str">
        <f>TEXT(calls[[#This Row],[Date of Call]],"DDDD")</f>
        <v>Friday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263</v>
      </c>
      <c r="C192" t="s">
        <v>55</v>
      </c>
      <c r="D192">
        <v>80</v>
      </c>
      <c r="E192" s="17" t="s">
        <v>36</v>
      </c>
      <c r="F192" s="18">
        <v>45723</v>
      </c>
      <c r="G192">
        <v>45</v>
      </c>
      <c r="H192">
        <v>3</v>
      </c>
      <c r="I192">
        <f>IF(MONTH(calls[[#This Row],[Date of Call]])&lt;=6, YEAR(calls[[#This Row],[Date of Call]]), YEAR(calls[[#This Row],[Date of Call]])+1)</f>
        <v>2025</v>
      </c>
      <c r="J192" t="str">
        <f>TEXT(calls[[#This Row],[Date of Call]],"DDDD")</f>
        <v>Friday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264</v>
      </c>
      <c r="C193" t="s">
        <v>51</v>
      </c>
      <c r="D193">
        <v>103</v>
      </c>
      <c r="E193" s="17" t="s">
        <v>35</v>
      </c>
      <c r="F193" s="18">
        <v>45724</v>
      </c>
      <c r="G193">
        <v>117</v>
      </c>
      <c r="H193">
        <v>3</v>
      </c>
      <c r="I193">
        <f>IF(MONTH(calls[[#This Row],[Date of Call]])&lt;=6, YEAR(calls[[#This Row],[Date of Call]]), YEAR(calls[[#This Row],[Date of Call]])+1)</f>
        <v>2025</v>
      </c>
      <c r="J193" t="str">
        <f>TEXT(calls[[#This Row],[Date of Call]],"DDDD")</f>
        <v>Saturday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265</v>
      </c>
      <c r="C194" t="s">
        <v>57</v>
      </c>
      <c r="D194">
        <v>20</v>
      </c>
      <c r="E194" s="17" t="s">
        <v>38</v>
      </c>
      <c r="F194" s="18">
        <v>45725</v>
      </c>
      <c r="G194">
        <v>22</v>
      </c>
      <c r="H194">
        <v>1.6</v>
      </c>
      <c r="I194">
        <f>IF(MONTH(calls[[#This Row],[Date of Call]])&lt;=6, YEAR(calls[[#This Row],[Date of Call]]), YEAR(calls[[#This Row],[Date of Call]])+1)</f>
        <v>2025</v>
      </c>
      <c r="J194" t="str">
        <f>TEXT(calls[[#This Row],[Date of Call]],"DDDD")</f>
        <v>Sunday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266</v>
      </c>
      <c r="C195" t="s">
        <v>51</v>
      </c>
      <c r="D195">
        <v>75</v>
      </c>
      <c r="E195" s="17" t="s">
        <v>36</v>
      </c>
      <c r="F195" s="18">
        <v>45725</v>
      </c>
      <c r="G195">
        <v>195</v>
      </c>
      <c r="H195">
        <v>3</v>
      </c>
      <c r="I195">
        <f>IF(MONTH(calls[[#This Row],[Date of Call]])&lt;=6, YEAR(calls[[#This Row],[Date of Call]]), YEAR(calls[[#This Row],[Date of Call]])+1)</f>
        <v>2025</v>
      </c>
      <c r="J195" t="str">
        <f>TEXT(calls[[#This Row],[Date of Call]],"DDDD")</f>
        <v>Sunday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267</v>
      </c>
      <c r="C196" t="s">
        <v>53</v>
      </c>
      <c r="D196">
        <v>80</v>
      </c>
      <c r="E196" s="17" t="s">
        <v>34</v>
      </c>
      <c r="F196" s="18">
        <v>45725</v>
      </c>
      <c r="G196">
        <v>168</v>
      </c>
      <c r="H196">
        <v>3.7</v>
      </c>
      <c r="I196">
        <f>IF(MONTH(calls[[#This Row],[Date of Call]])&lt;=6, YEAR(calls[[#This Row],[Date of Call]]), YEAR(calls[[#This Row],[Date of Call]])+1)</f>
        <v>2025</v>
      </c>
      <c r="J196" t="str">
        <f>TEXT(calls[[#This Row],[Date of Call]],"DDDD")</f>
        <v>Sunday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268</v>
      </c>
      <c r="C197" t="s">
        <v>50</v>
      </c>
      <c r="D197">
        <v>85</v>
      </c>
      <c r="E197" s="17" t="s">
        <v>37</v>
      </c>
      <c r="F197" s="18">
        <v>45726</v>
      </c>
      <c r="G197">
        <v>46</v>
      </c>
      <c r="H197">
        <v>4.9000000000000004</v>
      </c>
      <c r="I197">
        <f>IF(MONTH(calls[[#This Row],[Date of Call]])&lt;=6, YEAR(calls[[#This Row],[Date of Call]]), YEAR(calls[[#This Row],[Date of Call]])+1)</f>
        <v>2025</v>
      </c>
      <c r="J197" t="str">
        <f>TEXT(calls[[#This Row],[Date of Call]],"DDDD")</f>
        <v>Monday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269</v>
      </c>
      <c r="C198" t="s">
        <v>46</v>
      </c>
      <c r="D198">
        <v>155</v>
      </c>
      <c r="E198" s="17" t="s">
        <v>38</v>
      </c>
      <c r="F198" s="18">
        <v>45726</v>
      </c>
      <c r="G198">
        <v>164</v>
      </c>
      <c r="H198">
        <v>3.4</v>
      </c>
      <c r="I198">
        <f>IF(MONTH(calls[[#This Row],[Date of Call]])&lt;=6, YEAR(calls[[#This Row],[Date of Call]]), YEAR(calls[[#This Row],[Date of Call]])+1)</f>
        <v>2025</v>
      </c>
      <c r="J198" t="str">
        <f>TEXT(calls[[#This Row],[Date of Call]],"DDDD")</f>
        <v>Monday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270</v>
      </c>
      <c r="C199" t="s">
        <v>50</v>
      </c>
      <c r="D199">
        <v>63</v>
      </c>
      <c r="E199" s="17" t="s">
        <v>37</v>
      </c>
      <c r="F199" s="18">
        <v>45726</v>
      </c>
      <c r="G199">
        <v>48</v>
      </c>
      <c r="H199">
        <v>5</v>
      </c>
      <c r="I199">
        <f>IF(MONTH(calls[[#This Row],[Date of Call]])&lt;=6, YEAR(calls[[#This Row],[Date of Call]]), YEAR(calls[[#This Row],[Date of Call]])+1)</f>
        <v>2025</v>
      </c>
      <c r="J199" t="str">
        <f>TEXT(calls[[#This Row],[Date of Call]],"DDDD")</f>
        <v>Monday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271</v>
      </c>
      <c r="C200" t="s">
        <v>56</v>
      </c>
      <c r="D200">
        <v>105</v>
      </c>
      <c r="E200" s="17" t="s">
        <v>35</v>
      </c>
      <c r="F200" s="18">
        <v>45726</v>
      </c>
      <c r="G200">
        <v>96</v>
      </c>
      <c r="H200">
        <v>5</v>
      </c>
      <c r="I200">
        <f>IF(MONTH(calls[[#This Row],[Date of Call]])&lt;=6, YEAR(calls[[#This Row],[Date of Call]]), YEAR(calls[[#This Row],[Date of Call]])+1)</f>
        <v>2025</v>
      </c>
      <c r="J200" t="str">
        <f>TEXT(calls[[#This Row],[Date of Call]],"DDDD")</f>
        <v>Monday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272</v>
      </c>
      <c r="C201" t="s">
        <v>50</v>
      </c>
      <c r="D201">
        <v>71</v>
      </c>
      <c r="E201" s="17" t="s">
        <v>37</v>
      </c>
      <c r="F201" s="18">
        <v>45726</v>
      </c>
      <c r="G201">
        <v>105</v>
      </c>
      <c r="H201">
        <v>4</v>
      </c>
      <c r="I201">
        <f>IF(MONTH(calls[[#This Row],[Date of Call]])&lt;=6, YEAR(calls[[#This Row],[Date of Call]]), YEAR(calls[[#This Row],[Date of Call]])+1)</f>
        <v>2025</v>
      </c>
      <c r="J201" t="str">
        <f>TEXT(calls[[#This Row],[Date of Call]],"DDDD")</f>
        <v>Monday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273</v>
      </c>
      <c r="C202" t="s">
        <v>46</v>
      </c>
      <c r="D202">
        <v>100</v>
      </c>
      <c r="E202" s="17" t="s">
        <v>37</v>
      </c>
      <c r="F202" s="18">
        <v>45727</v>
      </c>
      <c r="G202">
        <v>44</v>
      </c>
      <c r="H202">
        <v>3.6</v>
      </c>
      <c r="I202">
        <f>IF(MONTH(calls[[#This Row],[Date of Call]])&lt;=6, YEAR(calls[[#This Row],[Date of Call]]), YEAR(calls[[#This Row],[Date of Call]])+1)</f>
        <v>2025</v>
      </c>
      <c r="J202" t="str">
        <f>TEXT(calls[[#This Row],[Date of Call]],"DDDD")</f>
        <v>Tuesday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274</v>
      </c>
      <c r="C203" t="s">
        <v>45</v>
      </c>
      <c r="D203">
        <v>93</v>
      </c>
      <c r="E203" s="17" t="s">
        <v>34</v>
      </c>
      <c r="F203" s="18">
        <v>45727</v>
      </c>
      <c r="G203">
        <v>132</v>
      </c>
      <c r="H203">
        <v>3.7</v>
      </c>
      <c r="I203">
        <f>IF(MONTH(calls[[#This Row],[Date of Call]])&lt;=6, YEAR(calls[[#This Row],[Date of Call]]), YEAR(calls[[#This Row],[Date of Call]])+1)</f>
        <v>2025</v>
      </c>
      <c r="J203" t="str">
        <f>TEXT(calls[[#This Row],[Date of Call]],"DDDD")</f>
        <v>Tuesday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275</v>
      </c>
      <c r="C204" t="s">
        <v>56</v>
      </c>
      <c r="D204">
        <v>84</v>
      </c>
      <c r="E204" s="17" t="s">
        <v>38</v>
      </c>
      <c r="F204" s="18">
        <v>45727</v>
      </c>
      <c r="G204">
        <v>54</v>
      </c>
      <c r="H204">
        <v>4.2</v>
      </c>
      <c r="I204">
        <f>IF(MONTH(calls[[#This Row],[Date of Call]])&lt;=6, YEAR(calls[[#This Row],[Date of Call]]), YEAR(calls[[#This Row],[Date of Call]])+1)</f>
        <v>2025</v>
      </c>
      <c r="J204" t="str">
        <f>TEXT(calls[[#This Row],[Date of Call]],"DDDD")</f>
        <v>Tuesday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276</v>
      </c>
      <c r="C205" t="s">
        <v>55</v>
      </c>
      <c r="D205">
        <v>56</v>
      </c>
      <c r="E205" s="17" t="s">
        <v>36</v>
      </c>
      <c r="F205" s="18">
        <v>45727</v>
      </c>
      <c r="G205">
        <v>129</v>
      </c>
      <c r="H205">
        <v>2.1</v>
      </c>
      <c r="I205">
        <f>IF(MONTH(calls[[#This Row],[Date of Call]])&lt;=6, YEAR(calls[[#This Row],[Date of Call]]), YEAR(calls[[#This Row],[Date of Call]])+1)</f>
        <v>2025</v>
      </c>
      <c r="J205" t="str">
        <f>TEXT(calls[[#This Row],[Date of Call]],"DDDD")</f>
        <v>Tuesday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277</v>
      </c>
      <c r="C206" t="s">
        <v>55</v>
      </c>
      <c r="D206">
        <v>63</v>
      </c>
      <c r="E206" s="17" t="s">
        <v>37</v>
      </c>
      <c r="F206" s="18">
        <v>45727</v>
      </c>
      <c r="G206">
        <v>42</v>
      </c>
      <c r="H206">
        <v>4</v>
      </c>
      <c r="I206">
        <f>IF(MONTH(calls[[#This Row],[Date of Call]])&lt;=6, YEAR(calls[[#This Row],[Date of Call]]), YEAR(calls[[#This Row],[Date of Call]])+1)</f>
        <v>2025</v>
      </c>
      <c r="J206" t="str">
        <f>TEXT(calls[[#This Row],[Date of Call]],"DDDD")</f>
        <v>Tuesday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278</v>
      </c>
      <c r="C207" t="s">
        <v>58</v>
      </c>
      <c r="D207">
        <v>83</v>
      </c>
      <c r="E207" s="17" t="s">
        <v>37</v>
      </c>
      <c r="F207" s="18">
        <v>45727</v>
      </c>
      <c r="G207">
        <v>42</v>
      </c>
      <c r="H207">
        <v>4.2</v>
      </c>
      <c r="I207">
        <f>IF(MONTH(calls[[#This Row],[Date of Call]])&lt;=6, YEAR(calls[[#This Row],[Date of Call]]), YEAR(calls[[#This Row],[Date of Call]])+1)</f>
        <v>2025</v>
      </c>
      <c r="J207" t="str">
        <f>TEXT(calls[[#This Row],[Date of Call]],"DDDD")</f>
        <v>Tuesday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279</v>
      </c>
      <c r="C208" t="s">
        <v>53</v>
      </c>
      <c r="D208">
        <v>134</v>
      </c>
      <c r="E208" s="17" t="s">
        <v>38</v>
      </c>
      <c r="F208" s="18">
        <v>45727</v>
      </c>
      <c r="G208">
        <v>180</v>
      </c>
      <c r="H208">
        <v>3.1</v>
      </c>
      <c r="I208">
        <f>IF(MONTH(calls[[#This Row],[Date of Call]])&lt;=6, YEAR(calls[[#This Row],[Date of Call]]), YEAR(calls[[#This Row],[Date of Call]])+1)</f>
        <v>2025</v>
      </c>
      <c r="J208" t="str">
        <f>TEXT(calls[[#This Row],[Date of Call]],"DDDD")</f>
        <v>Tuesday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280</v>
      </c>
      <c r="C209" t="s">
        <v>47</v>
      </c>
      <c r="D209">
        <v>73</v>
      </c>
      <c r="E209" s="17" t="s">
        <v>37</v>
      </c>
      <c r="F209" s="18">
        <v>45728</v>
      </c>
      <c r="G209">
        <v>34</v>
      </c>
      <c r="H209">
        <v>4.8</v>
      </c>
      <c r="I209">
        <f>IF(MONTH(calls[[#This Row],[Date of Call]])&lt;=6, YEAR(calls[[#This Row],[Date of Call]]), YEAR(calls[[#This Row],[Date of Call]])+1)</f>
        <v>2025</v>
      </c>
      <c r="J209" t="str">
        <f>TEXT(calls[[#This Row],[Date of Call]],"DDDD")</f>
        <v>Wednesday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281</v>
      </c>
      <c r="C210" t="s">
        <v>51</v>
      </c>
      <c r="D210">
        <v>6</v>
      </c>
      <c r="E210" s="17" t="s">
        <v>36</v>
      </c>
      <c r="F210" s="18">
        <v>45728</v>
      </c>
      <c r="G210">
        <v>29</v>
      </c>
      <c r="H210">
        <v>4.7</v>
      </c>
      <c r="I210">
        <f>IF(MONTH(calls[[#This Row],[Date of Call]])&lt;=6, YEAR(calls[[#This Row],[Date of Call]]), YEAR(calls[[#This Row],[Date of Call]])+1)</f>
        <v>2025</v>
      </c>
      <c r="J210" t="str">
        <f>TEXT(calls[[#This Row],[Date of Call]],"DDDD")</f>
        <v>Wednesday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282</v>
      </c>
      <c r="C211" t="s">
        <v>48</v>
      </c>
      <c r="D211">
        <v>46</v>
      </c>
      <c r="E211" s="17" t="s">
        <v>35</v>
      </c>
      <c r="F211" s="18">
        <v>45728</v>
      </c>
      <c r="G211">
        <v>165</v>
      </c>
      <c r="H211">
        <v>3.3</v>
      </c>
      <c r="I211">
        <f>IF(MONTH(calls[[#This Row],[Date of Call]])&lt;=6, YEAR(calls[[#This Row],[Date of Call]]), YEAR(calls[[#This Row],[Date of Call]])+1)</f>
        <v>2025</v>
      </c>
      <c r="J211" t="str">
        <f>TEXT(calls[[#This Row],[Date of Call]],"DDDD")</f>
        <v>Wednesday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283</v>
      </c>
      <c r="C212" t="s">
        <v>51</v>
      </c>
      <c r="D212">
        <v>121</v>
      </c>
      <c r="E212" s="17" t="s">
        <v>37</v>
      </c>
      <c r="F212" s="18">
        <v>45729</v>
      </c>
      <c r="G212">
        <v>32</v>
      </c>
      <c r="H212">
        <v>3.7</v>
      </c>
      <c r="I212">
        <f>IF(MONTH(calls[[#This Row],[Date of Call]])&lt;=6, YEAR(calls[[#This Row],[Date of Call]]), YEAR(calls[[#This Row],[Date of Call]])+1)</f>
        <v>2025</v>
      </c>
      <c r="J212" t="str">
        <f>TEXT(calls[[#This Row],[Date of Call]],"DDDD")</f>
        <v>Thursday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284</v>
      </c>
      <c r="C213" t="s">
        <v>55</v>
      </c>
      <c r="D213">
        <v>61</v>
      </c>
      <c r="E213" s="17" t="s">
        <v>34</v>
      </c>
      <c r="F213" s="18">
        <v>45729</v>
      </c>
      <c r="G213">
        <v>160</v>
      </c>
      <c r="H213">
        <v>4.9000000000000004</v>
      </c>
      <c r="I213">
        <f>IF(MONTH(calls[[#This Row],[Date of Call]])&lt;=6, YEAR(calls[[#This Row],[Date of Call]]), YEAR(calls[[#This Row],[Date of Call]])+1)</f>
        <v>2025</v>
      </c>
      <c r="J213" t="str">
        <f>TEXT(calls[[#This Row],[Date of Call]],"DDDD")</f>
        <v>Thursday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285</v>
      </c>
      <c r="C214" t="s">
        <v>53</v>
      </c>
      <c r="D214">
        <v>144</v>
      </c>
      <c r="E214" s="17" t="s">
        <v>38</v>
      </c>
      <c r="F214" s="18">
        <v>45729</v>
      </c>
      <c r="G214">
        <v>140</v>
      </c>
      <c r="H214">
        <v>3.5</v>
      </c>
      <c r="I214">
        <f>IF(MONTH(calls[[#This Row],[Date of Call]])&lt;=6, YEAR(calls[[#This Row],[Date of Call]]), YEAR(calls[[#This Row],[Date of Call]])+1)</f>
        <v>2025</v>
      </c>
      <c r="J214" t="str">
        <f>TEXT(calls[[#This Row],[Date of Call]],"DDDD")</f>
        <v>Thursday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286</v>
      </c>
      <c r="C215" t="s">
        <v>48</v>
      </c>
      <c r="D215">
        <v>145</v>
      </c>
      <c r="E215" s="17" t="s">
        <v>38</v>
      </c>
      <c r="F215" s="18">
        <v>45729</v>
      </c>
      <c r="G215">
        <v>136</v>
      </c>
      <c r="H215">
        <v>4.4000000000000004</v>
      </c>
      <c r="I215">
        <f>IF(MONTH(calls[[#This Row],[Date of Call]])&lt;=6, YEAR(calls[[#This Row],[Date of Call]]), YEAR(calls[[#This Row],[Date of Call]])+1)</f>
        <v>2025</v>
      </c>
      <c r="J215" t="str">
        <f>TEXT(calls[[#This Row],[Date of Call]],"DDDD")</f>
        <v>Thursday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287</v>
      </c>
      <c r="C216" t="s">
        <v>56</v>
      </c>
      <c r="D216">
        <v>85</v>
      </c>
      <c r="E216" s="17" t="s">
        <v>36</v>
      </c>
      <c r="F216" s="18">
        <v>45729</v>
      </c>
      <c r="G216">
        <v>66</v>
      </c>
      <c r="H216">
        <v>2.8</v>
      </c>
      <c r="I216">
        <f>IF(MONTH(calls[[#This Row],[Date of Call]])&lt;=6, YEAR(calls[[#This Row],[Date of Call]]), YEAR(calls[[#This Row],[Date of Call]])+1)</f>
        <v>2025</v>
      </c>
      <c r="J216" t="str">
        <f>TEXT(calls[[#This Row],[Date of Call]],"DDDD")</f>
        <v>Thursday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288</v>
      </c>
      <c r="C217" t="s">
        <v>48</v>
      </c>
      <c r="D217">
        <v>13</v>
      </c>
      <c r="E217" s="17" t="s">
        <v>34</v>
      </c>
      <c r="F217" s="18">
        <v>45730</v>
      </c>
      <c r="G217">
        <v>63</v>
      </c>
      <c r="H217">
        <v>4.0999999999999996</v>
      </c>
      <c r="I217">
        <f>IF(MONTH(calls[[#This Row],[Date of Call]])&lt;=6, YEAR(calls[[#This Row],[Date of Call]]), YEAR(calls[[#This Row],[Date of Call]])+1)</f>
        <v>2025</v>
      </c>
      <c r="J217" t="str">
        <f>TEXT(calls[[#This Row],[Date of Call]],"DDDD")</f>
        <v>Friday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289</v>
      </c>
      <c r="C218" t="s">
        <v>45</v>
      </c>
      <c r="D218">
        <v>142</v>
      </c>
      <c r="E218" s="17" t="s">
        <v>37</v>
      </c>
      <c r="F218" s="18">
        <v>45730</v>
      </c>
      <c r="G218">
        <v>44</v>
      </c>
      <c r="H218">
        <v>3.5</v>
      </c>
      <c r="I218">
        <f>IF(MONTH(calls[[#This Row],[Date of Call]])&lt;=6, YEAR(calls[[#This Row],[Date of Call]]), YEAR(calls[[#This Row],[Date of Call]])+1)</f>
        <v>2025</v>
      </c>
      <c r="J218" t="str">
        <f>TEXT(calls[[#This Row],[Date of Call]],"DDDD")</f>
        <v>Friday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290</v>
      </c>
      <c r="C219" t="s">
        <v>53</v>
      </c>
      <c r="D219">
        <v>28</v>
      </c>
      <c r="E219" s="17" t="s">
        <v>35</v>
      </c>
      <c r="F219" s="18">
        <v>45730</v>
      </c>
      <c r="G219">
        <v>78</v>
      </c>
      <c r="H219">
        <v>3.8</v>
      </c>
      <c r="I219">
        <f>IF(MONTH(calls[[#This Row],[Date of Call]])&lt;=6, YEAR(calls[[#This Row],[Date of Call]]), YEAR(calls[[#This Row],[Date of Call]])+1)</f>
        <v>2025</v>
      </c>
      <c r="J219" t="str">
        <f>TEXT(calls[[#This Row],[Date of Call]],"DDDD")</f>
        <v>Friday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291</v>
      </c>
      <c r="C220" t="s">
        <v>53</v>
      </c>
      <c r="D220">
        <v>119</v>
      </c>
      <c r="E220" s="17" t="s">
        <v>37</v>
      </c>
      <c r="F220" s="18">
        <v>45730</v>
      </c>
      <c r="G220">
        <v>20</v>
      </c>
      <c r="H220">
        <v>3.9</v>
      </c>
      <c r="I220">
        <f>IF(MONTH(calls[[#This Row],[Date of Call]])&lt;=6, YEAR(calls[[#This Row],[Date of Call]]), YEAR(calls[[#This Row],[Date of Call]])+1)</f>
        <v>2025</v>
      </c>
      <c r="J220" t="str">
        <f>TEXT(calls[[#This Row],[Date of Call]],"DDDD")</f>
        <v>Friday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292</v>
      </c>
      <c r="C221" t="s">
        <v>51</v>
      </c>
      <c r="D221">
        <v>65</v>
      </c>
      <c r="E221" s="17" t="s">
        <v>36</v>
      </c>
      <c r="F221" s="18">
        <v>45730</v>
      </c>
      <c r="G221">
        <v>84</v>
      </c>
      <c r="H221">
        <v>2.5</v>
      </c>
      <c r="I221">
        <f>IF(MONTH(calls[[#This Row],[Date of Call]])&lt;=6, YEAR(calls[[#This Row],[Date of Call]]), YEAR(calls[[#This Row],[Date of Call]])+1)</f>
        <v>2025</v>
      </c>
      <c r="J221" t="str">
        <f>TEXT(calls[[#This Row],[Date of Call]],"DDDD")</f>
        <v>Friday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293</v>
      </c>
      <c r="C222" t="s">
        <v>49</v>
      </c>
      <c r="D222">
        <v>68</v>
      </c>
      <c r="E222" s="17" t="s">
        <v>36</v>
      </c>
      <c r="F222" s="18">
        <v>45730</v>
      </c>
      <c r="G222">
        <v>32</v>
      </c>
      <c r="H222">
        <v>4.9000000000000004</v>
      </c>
      <c r="I222">
        <f>IF(MONTH(calls[[#This Row],[Date of Call]])&lt;=6, YEAR(calls[[#This Row],[Date of Call]]), YEAR(calls[[#This Row],[Date of Call]])+1)</f>
        <v>2025</v>
      </c>
      <c r="J222" t="str">
        <f>TEXT(calls[[#This Row],[Date of Call]],"DDDD")</f>
        <v>Friday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294</v>
      </c>
      <c r="C223" t="s">
        <v>58</v>
      </c>
      <c r="D223">
        <v>72</v>
      </c>
      <c r="E223" s="17" t="s">
        <v>35</v>
      </c>
      <c r="F223" s="18">
        <v>45730</v>
      </c>
      <c r="G223">
        <v>132</v>
      </c>
      <c r="H223">
        <v>3.4</v>
      </c>
      <c r="I223">
        <f>IF(MONTH(calls[[#This Row],[Date of Call]])&lt;=6, YEAR(calls[[#This Row],[Date of Call]]), YEAR(calls[[#This Row],[Date of Call]])+1)</f>
        <v>2025</v>
      </c>
      <c r="J223" t="str">
        <f>TEXT(calls[[#This Row],[Date of Call]],"DDDD")</f>
        <v>Friday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295</v>
      </c>
      <c r="C224" t="s">
        <v>58</v>
      </c>
      <c r="D224">
        <v>63</v>
      </c>
      <c r="E224" s="17" t="s">
        <v>38</v>
      </c>
      <c r="F224" s="18">
        <v>45730</v>
      </c>
      <c r="G224">
        <v>105</v>
      </c>
      <c r="H224">
        <v>3.3</v>
      </c>
      <c r="I224">
        <f>IF(MONTH(calls[[#This Row],[Date of Call]])&lt;=6, YEAR(calls[[#This Row],[Date of Call]]), YEAR(calls[[#This Row],[Date of Call]])+1)</f>
        <v>2025</v>
      </c>
      <c r="J224" t="str">
        <f>TEXT(calls[[#This Row],[Date of Call]],"DDDD")</f>
        <v>Friday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296</v>
      </c>
      <c r="C225" t="s">
        <v>46</v>
      </c>
      <c r="D225">
        <v>139</v>
      </c>
      <c r="E225" s="17" t="s">
        <v>37</v>
      </c>
      <c r="F225" s="18">
        <v>45731</v>
      </c>
      <c r="G225">
        <v>48</v>
      </c>
      <c r="H225">
        <v>4.7</v>
      </c>
      <c r="I225">
        <f>IF(MONTH(calls[[#This Row],[Date of Call]])&lt;=6, YEAR(calls[[#This Row],[Date of Call]]), YEAR(calls[[#This Row],[Date of Call]])+1)</f>
        <v>2025</v>
      </c>
      <c r="J225" t="str">
        <f>TEXT(calls[[#This Row],[Date of Call]],"DDDD")</f>
        <v>Saturday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297</v>
      </c>
      <c r="C226" t="s">
        <v>53</v>
      </c>
      <c r="D226">
        <v>59</v>
      </c>
      <c r="E226" s="17" t="s">
        <v>37</v>
      </c>
      <c r="F226" s="18">
        <v>45731</v>
      </c>
      <c r="G226">
        <v>64</v>
      </c>
      <c r="H226">
        <v>4</v>
      </c>
      <c r="I226">
        <f>IF(MONTH(calls[[#This Row],[Date of Call]])&lt;=6, YEAR(calls[[#This Row],[Date of Call]]), YEAR(calls[[#This Row],[Date of Call]])+1)</f>
        <v>2025</v>
      </c>
      <c r="J226" t="str">
        <f>TEXT(calls[[#This Row],[Date of Call]],"DDDD")</f>
        <v>Saturday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298</v>
      </c>
      <c r="C227" t="s">
        <v>57</v>
      </c>
      <c r="D227">
        <v>138</v>
      </c>
      <c r="E227" s="17" t="s">
        <v>38</v>
      </c>
      <c r="F227" s="18">
        <v>45731</v>
      </c>
      <c r="G227">
        <v>44</v>
      </c>
      <c r="H227">
        <v>3.8</v>
      </c>
      <c r="I227">
        <f>IF(MONTH(calls[[#This Row],[Date of Call]])&lt;=6, YEAR(calls[[#This Row],[Date of Call]]), YEAR(calls[[#This Row],[Date of Call]])+1)</f>
        <v>2025</v>
      </c>
      <c r="J227" t="str">
        <f>TEXT(calls[[#This Row],[Date of Call]],"DDDD")</f>
        <v>Saturday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299</v>
      </c>
      <c r="C228" t="s">
        <v>46</v>
      </c>
      <c r="D228">
        <v>47</v>
      </c>
      <c r="E228" s="17" t="s">
        <v>35</v>
      </c>
      <c r="F228" s="18">
        <v>45731</v>
      </c>
      <c r="G228">
        <v>120</v>
      </c>
      <c r="H228">
        <v>3.1</v>
      </c>
      <c r="I228">
        <f>IF(MONTH(calls[[#This Row],[Date of Call]])&lt;=6, YEAR(calls[[#This Row],[Date of Call]]), YEAR(calls[[#This Row],[Date of Call]])+1)</f>
        <v>2025</v>
      </c>
      <c r="J228" t="str">
        <f>TEXT(calls[[#This Row],[Date of Call]],"DDDD")</f>
        <v>Saturday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300</v>
      </c>
      <c r="C229" t="s">
        <v>57</v>
      </c>
      <c r="D229">
        <v>74</v>
      </c>
      <c r="E229" s="17" t="s">
        <v>35</v>
      </c>
      <c r="F229" s="18">
        <v>45731</v>
      </c>
      <c r="G229">
        <v>144</v>
      </c>
      <c r="H229">
        <v>4.8</v>
      </c>
      <c r="I229">
        <f>IF(MONTH(calls[[#This Row],[Date of Call]])&lt;=6, YEAR(calls[[#This Row],[Date of Call]]), YEAR(calls[[#This Row],[Date of Call]])+1)</f>
        <v>2025</v>
      </c>
      <c r="J229" t="str">
        <f>TEXT(calls[[#This Row],[Date of Call]],"DDDD")</f>
        <v>Saturday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301</v>
      </c>
      <c r="C230" t="s">
        <v>58</v>
      </c>
      <c r="D230">
        <v>65</v>
      </c>
      <c r="E230" s="17" t="s">
        <v>35</v>
      </c>
      <c r="F230" s="18">
        <v>45731</v>
      </c>
      <c r="G230">
        <v>87</v>
      </c>
      <c r="H230">
        <v>2.7</v>
      </c>
      <c r="I230">
        <f>IF(MONTH(calls[[#This Row],[Date of Call]])&lt;=6, YEAR(calls[[#This Row],[Date of Call]]), YEAR(calls[[#This Row],[Date of Call]])+1)</f>
        <v>2025</v>
      </c>
      <c r="J230" t="str">
        <f>TEXT(calls[[#This Row],[Date of Call]],"DDDD")</f>
        <v>Saturday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302</v>
      </c>
      <c r="C231" t="s">
        <v>47</v>
      </c>
      <c r="D231">
        <v>123</v>
      </c>
      <c r="E231" s="17" t="s">
        <v>36</v>
      </c>
      <c r="F231" s="18">
        <v>45731</v>
      </c>
      <c r="G231">
        <v>36</v>
      </c>
      <c r="H231">
        <v>3.6</v>
      </c>
      <c r="I231">
        <f>IF(MONTH(calls[[#This Row],[Date of Call]])&lt;=6, YEAR(calls[[#This Row],[Date of Call]]), YEAR(calls[[#This Row],[Date of Call]])+1)</f>
        <v>2025</v>
      </c>
      <c r="J231" t="str">
        <f>TEXT(calls[[#This Row],[Date of Call]],"DDDD")</f>
        <v>Saturday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303</v>
      </c>
      <c r="C232" t="s">
        <v>58</v>
      </c>
      <c r="D232">
        <v>90</v>
      </c>
      <c r="E232" s="17" t="s">
        <v>37</v>
      </c>
      <c r="F232" s="18">
        <v>45732</v>
      </c>
      <c r="G232">
        <v>72</v>
      </c>
      <c r="H232">
        <v>4.7</v>
      </c>
      <c r="I232">
        <f>IF(MONTH(calls[[#This Row],[Date of Call]])&lt;=6, YEAR(calls[[#This Row],[Date of Call]]), YEAR(calls[[#This Row],[Date of Call]])+1)</f>
        <v>2025</v>
      </c>
      <c r="J232" t="str">
        <f>TEXT(calls[[#This Row],[Date of Call]],"DDDD")</f>
        <v>Sunday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304</v>
      </c>
      <c r="C233" t="s">
        <v>55</v>
      </c>
      <c r="D233">
        <v>127</v>
      </c>
      <c r="E233" s="17" t="s">
        <v>38</v>
      </c>
      <c r="F233" s="18">
        <v>45732</v>
      </c>
      <c r="G233">
        <v>150</v>
      </c>
      <c r="H233">
        <v>4.4000000000000004</v>
      </c>
      <c r="I233">
        <f>IF(MONTH(calls[[#This Row],[Date of Call]])&lt;=6, YEAR(calls[[#This Row],[Date of Call]]), YEAR(calls[[#This Row],[Date of Call]])+1)</f>
        <v>2025</v>
      </c>
      <c r="J233" t="str">
        <f>TEXT(calls[[#This Row],[Date of Call]],"DDDD")</f>
        <v>Sunday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305</v>
      </c>
      <c r="C234" t="s">
        <v>59</v>
      </c>
      <c r="D234">
        <v>60</v>
      </c>
      <c r="E234" s="17" t="s">
        <v>35</v>
      </c>
      <c r="F234" s="18">
        <v>45732</v>
      </c>
      <c r="G234">
        <v>68</v>
      </c>
      <c r="H234">
        <v>4.3</v>
      </c>
      <c r="I234">
        <f>IF(MONTH(calls[[#This Row],[Date of Call]])&lt;=6, YEAR(calls[[#This Row],[Date of Call]]), YEAR(calls[[#This Row],[Date of Call]])+1)</f>
        <v>2025</v>
      </c>
      <c r="J234" t="str">
        <f>TEXT(calls[[#This Row],[Date of Call]],"DDDD")</f>
        <v>Sunday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306</v>
      </c>
      <c r="C235" t="s">
        <v>46</v>
      </c>
      <c r="D235">
        <v>94</v>
      </c>
      <c r="E235" s="17" t="s">
        <v>38</v>
      </c>
      <c r="F235" s="18">
        <v>45732</v>
      </c>
      <c r="G235">
        <v>99</v>
      </c>
      <c r="H235">
        <v>4.9000000000000004</v>
      </c>
      <c r="I235">
        <f>IF(MONTH(calls[[#This Row],[Date of Call]])&lt;=6, YEAR(calls[[#This Row],[Date of Call]]), YEAR(calls[[#This Row],[Date of Call]])+1)</f>
        <v>2025</v>
      </c>
      <c r="J235" t="str">
        <f>TEXT(calls[[#This Row],[Date of Call]],"DDDD")</f>
        <v>Sunday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307</v>
      </c>
      <c r="C236" t="s">
        <v>47</v>
      </c>
      <c r="D236">
        <v>54</v>
      </c>
      <c r="E236" s="17" t="s">
        <v>35</v>
      </c>
      <c r="F236" s="18">
        <v>45732</v>
      </c>
      <c r="G236">
        <v>26</v>
      </c>
      <c r="H236">
        <v>4.8</v>
      </c>
      <c r="I236">
        <f>IF(MONTH(calls[[#This Row],[Date of Call]])&lt;=6, YEAR(calls[[#This Row],[Date of Call]]), YEAR(calls[[#This Row],[Date of Call]])+1)</f>
        <v>2025</v>
      </c>
      <c r="J236" t="str">
        <f>TEXT(calls[[#This Row],[Date of Call]],"DDDD")</f>
        <v>Sunday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308</v>
      </c>
      <c r="C237" t="s">
        <v>58</v>
      </c>
      <c r="D237">
        <v>104</v>
      </c>
      <c r="E237" s="17" t="s">
        <v>35</v>
      </c>
      <c r="F237" s="18">
        <v>45732</v>
      </c>
      <c r="G237">
        <v>88</v>
      </c>
      <c r="H237">
        <v>3.2</v>
      </c>
      <c r="I237">
        <f>IF(MONTH(calls[[#This Row],[Date of Call]])&lt;=6, YEAR(calls[[#This Row],[Date of Call]]), YEAR(calls[[#This Row],[Date of Call]])+1)</f>
        <v>2025</v>
      </c>
      <c r="J237" t="str">
        <f>TEXT(calls[[#This Row],[Date of Call]],"DDDD")</f>
        <v>Sunday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309</v>
      </c>
      <c r="C238" t="s">
        <v>50</v>
      </c>
      <c r="D238">
        <v>100</v>
      </c>
      <c r="E238" s="17" t="s">
        <v>35</v>
      </c>
      <c r="F238" s="18">
        <v>45732</v>
      </c>
      <c r="G238">
        <v>124</v>
      </c>
      <c r="H238">
        <v>3.4</v>
      </c>
      <c r="I238">
        <f>IF(MONTH(calls[[#This Row],[Date of Call]])&lt;=6, YEAR(calls[[#This Row],[Date of Call]]), YEAR(calls[[#This Row],[Date of Call]])+1)</f>
        <v>2025</v>
      </c>
      <c r="J238" t="str">
        <f>TEXT(calls[[#This Row],[Date of Call]],"DDDD")</f>
        <v>Sunday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310</v>
      </c>
      <c r="C239" t="s">
        <v>57</v>
      </c>
      <c r="D239">
        <v>84</v>
      </c>
      <c r="E239" s="17" t="s">
        <v>35</v>
      </c>
      <c r="F239" s="18">
        <v>45732</v>
      </c>
      <c r="G239">
        <v>72</v>
      </c>
      <c r="H239">
        <v>3.5</v>
      </c>
      <c r="I239">
        <f>IF(MONTH(calls[[#This Row],[Date of Call]])&lt;=6, YEAR(calls[[#This Row],[Date of Call]]), YEAR(calls[[#This Row],[Date of Call]])+1)</f>
        <v>2025</v>
      </c>
      <c r="J239" t="str">
        <f>TEXT(calls[[#This Row],[Date of Call]],"DDDD")</f>
        <v>Sunday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311</v>
      </c>
      <c r="C240" t="s">
        <v>45</v>
      </c>
      <c r="D240">
        <v>92</v>
      </c>
      <c r="E240" s="17" t="s">
        <v>34</v>
      </c>
      <c r="F240" s="18">
        <v>45733</v>
      </c>
      <c r="G240">
        <v>125</v>
      </c>
      <c r="H240">
        <v>4.9000000000000004</v>
      </c>
      <c r="I240">
        <f>IF(MONTH(calls[[#This Row],[Date of Call]])&lt;=6, YEAR(calls[[#This Row],[Date of Call]]), YEAR(calls[[#This Row],[Date of Call]])+1)</f>
        <v>2025</v>
      </c>
      <c r="J240" t="str">
        <f>TEXT(calls[[#This Row],[Date of Call]],"DDDD")</f>
        <v>Monday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312</v>
      </c>
      <c r="C241" t="s">
        <v>52</v>
      </c>
      <c r="D241">
        <v>64</v>
      </c>
      <c r="E241" s="17" t="s">
        <v>38</v>
      </c>
      <c r="F241" s="18">
        <v>45733</v>
      </c>
      <c r="G241">
        <v>22</v>
      </c>
      <c r="H241">
        <v>4.0999999999999996</v>
      </c>
      <c r="I241">
        <f>IF(MONTH(calls[[#This Row],[Date of Call]])&lt;=6, YEAR(calls[[#This Row],[Date of Call]]), YEAR(calls[[#This Row],[Date of Call]])+1)</f>
        <v>2025</v>
      </c>
      <c r="J241" t="str">
        <f>TEXT(calls[[#This Row],[Date of Call]],"DDDD")</f>
        <v>Monday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313</v>
      </c>
      <c r="C242" t="s">
        <v>56</v>
      </c>
      <c r="D242">
        <v>89</v>
      </c>
      <c r="E242" s="17" t="s">
        <v>37</v>
      </c>
      <c r="F242" s="18">
        <v>45734</v>
      </c>
      <c r="G242">
        <v>70</v>
      </c>
      <c r="H242">
        <v>4.9000000000000004</v>
      </c>
      <c r="I242">
        <f>IF(MONTH(calls[[#This Row],[Date of Call]])&lt;=6, YEAR(calls[[#This Row],[Date of Call]]), YEAR(calls[[#This Row],[Date of Call]])+1)</f>
        <v>2025</v>
      </c>
      <c r="J242" t="str">
        <f>TEXT(calls[[#This Row],[Date of Call]],"DDDD")</f>
        <v>Tuesday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314</v>
      </c>
      <c r="C243" t="s">
        <v>54</v>
      </c>
      <c r="D243">
        <v>40</v>
      </c>
      <c r="E243" s="17" t="s">
        <v>35</v>
      </c>
      <c r="F243" s="18">
        <v>45734</v>
      </c>
      <c r="G243">
        <v>24</v>
      </c>
      <c r="H243">
        <v>4.3</v>
      </c>
      <c r="I243">
        <f>IF(MONTH(calls[[#This Row],[Date of Call]])&lt;=6, YEAR(calls[[#This Row],[Date of Call]]), YEAR(calls[[#This Row],[Date of Call]])+1)</f>
        <v>2025</v>
      </c>
      <c r="J243" t="str">
        <f>TEXT(calls[[#This Row],[Date of Call]],"DDDD")</f>
        <v>Tuesday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315</v>
      </c>
      <c r="C244" t="s">
        <v>53</v>
      </c>
      <c r="D244">
        <v>75</v>
      </c>
      <c r="E244" s="17" t="s">
        <v>36</v>
      </c>
      <c r="F244" s="18">
        <v>45734</v>
      </c>
      <c r="G244">
        <v>32</v>
      </c>
      <c r="H244">
        <v>4.0999999999999996</v>
      </c>
      <c r="I244">
        <f>IF(MONTH(calls[[#This Row],[Date of Call]])&lt;=6, YEAR(calls[[#This Row],[Date of Call]]), YEAR(calls[[#This Row],[Date of Call]])+1)</f>
        <v>2025</v>
      </c>
      <c r="J244" t="str">
        <f>TEXT(calls[[#This Row],[Date of Call]],"DDDD")</f>
        <v>Tuesday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316</v>
      </c>
      <c r="C245" t="s">
        <v>55</v>
      </c>
      <c r="D245">
        <v>106</v>
      </c>
      <c r="E245" s="17" t="s">
        <v>34</v>
      </c>
      <c r="F245" s="18">
        <v>45734</v>
      </c>
      <c r="G245">
        <v>112</v>
      </c>
      <c r="H245">
        <v>4.4000000000000004</v>
      </c>
      <c r="I245">
        <f>IF(MONTH(calls[[#This Row],[Date of Call]])&lt;=6, YEAR(calls[[#This Row],[Date of Call]]), YEAR(calls[[#This Row],[Date of Call]])+1)</f>
        <v>2025</v>
      </c>
      <c r="J245" t="str">
        <f>TEXT(calls[[#This Row],[Date of Call]],"DDDD")</f>
        <v>Tuesday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317</v>
      </c>
      <c r="C246" t="s">
        <v>52</v>
      </c>
      <c r="D246">
        <v>58</v>
      </c>
      <c r="E246" s="17" t="s">
        <v>35</v>
      </c>
      <c r="F246" s="18">
        <v>45735</v>
      </c>
      <c r="G246">
        <v>43</v>
      </c>
      <c r="H246">
        <v>4.5</v>
      </c>
      <c r="I246">
        <f>IF(MONTH(calls[[#This Row],[Date of Call]])&lt;=6, YEAR(calls[[#This Row],[Date of Call]]), YEAR(calls[[#This Row],[Date of Call]])+1)</f>
        <v>2025</v>
      </c>
      <c r="J246" t="str">
        <f>TEXT(calls[[#This Row],[Date of Call]],"DDDD")</f>
        <v>Wednesday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318</v>
      </c>
      <c r="C247" t="s">
        <v>57</v>
      </c>
      <c r="D247">
        <v>84</v>
      </c>
      <c r="E247" s="17" t="s">
        <v>34</v>
      </c>
      <c r="F247" s="18">
        <v>45735</v>
      </c>
      <c r="G247">
        <v>22</v>
      </c>
      <c r="H247">
        <v>3.5</v>
      </c>
      <c r="I247">
        <f>IF(MONTH(calls[[#This Row],[Date of Call]])&lt;=6, YEAR(calls[[#This Row],[Date of Call]]), YEAR(calls[[#This Row],[Date of Call]])+1)</f>
        <v>2025</v>
      </c>
      <c r="J247" t="str">
        <f>TEXT(calls[[#This Row],[Date of Call]],"DDDD")</f>
        <v>Wednesday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319</v>
      </c>
      <c r="C248" t="s">
        <v>58</v>
      </c>
      <c r="D248">
        <v>140</v>
      </c>
      <c r="E248" s="17" t="s">
        <v>34</v>
      </c>
      <c r="F248" s="18">
        <v>45735</v>
      </c>
      <c r="G248">
        <v>93</v>
      </c>
      <c r="H248">
        <v>4.4000000000000004</v>
      </c>
      <c r="I248">
        <f>IF(MONTH(calls[[#This Row],[Date of Call]])&lt;=6, YEAR(calls[[#This Row],[Date of Call]]), YEAR(calls[[#This Row],[Date of Call]])+1)</f>
        <v>2025</v>
      </c>
      <c r="J248" t="str">
        <f>TEXT(calls[[#This Row],[Date of Call]],"DDDD")</f>
        <v>Wednesday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320</v>
      </c>
      <c r="C249" t="s">
        <v>52</v>
      </c>
      <c r="D249">
        <v>67</v>
      </c>
      <c r="E249" s="17" t="s">
        <v>34</v>
      </c>
      <c r="F249" s="18">
        <v>45735</v>
      </c>
      <c r="G249">
        <v>45</v>
      </c>
      <c r="H249">
        <v>3.5</v>
      </c>
      <c r="I249">
        <f>IF(MONTH(calls[[#This Row],[Date of Call]])&lt;=6, YEAR(calls[[#This Row],[Date of Call]]), YEAR(calls[[#This Row],[Date of Call]])+1)</f>
        <v>2025</v>
      </c>
      <c r="J249" t="str">
        <f>TEXT(calls[[#This Row],[Date of Call]],"DDDD")</f>
        <v>Wednesday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321</v>
      </c>
      <c r="C250" t="s">
        <v>46</v>
      </c>
      <c r="D250">
        <v>126</v>
      </c>
      <c r="E250" s="17" t="s">
        <v>34</v>
      </c>
      <c r="F250" s="18">
        <v>45736</v>
      </c>
      <c r="G250">
        <v>96</v>
      </c>
      <c r="H250">
        <v>3.8</v>
      </c>
      <c r="I250">
        <f>IF(MONTH(calls[[#This Row],[Date of Call]])&lt;=6, YEAR(calls[[#This Row],[Date of Call]]), YEAR(calls[[#This Row],[Date of Call]])+1)</f>
        <v>2025</v>
      </c>
      <c r="J250" t="str">
        <f>TEXT(calls[[#This Row],[Date of Call]],"DDDD")</f>
        <v>Thursday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322</v>
      </c>
      <c r="C251" t="s">
        <v>46</v>
      </c>
      <c r="D251">
        <v>89</v>
      </c>
      <c r="E251" s="17" t="s">
        <v>35</v>
      </c>
      <c r="F251" s="18">
        <v>45736</v>
      </c>
      <c r="G251">
        <v>96</v>
      </c>
      <c r="H251">
        <v>3.3</v>
      </c>
      <c r="I251">
        <f>IF(MONTH(calls[[#This Row],[Date of Call]])&lt;=6, YEAR(calls[[#This Row],[Date of Call]]), YEAR(calls[[#This Row],[Date of Call]])+1)</f>
        <v>2025</v>
      </c>
      <c r="J251" t="str">
        <f>TEXT(calls[[#This Row],[Date of Call]],"DDDD")</f>
        <v>Thursday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323</v>
      </c>
      <c r="C252" t="s">
        <v>56</v>
      </c>
      <c r="D252">
        <v>56</v>
      </c>
      <c r="E252" s="17" t="s">
        <v>38</v>
      </c>
      <c r="F252" s="18">
        <v>45736</v>
      </c>
      <c r="G252">
        <v>31</v>
      </c>
      <c r="H252">
        <v>4.4000000000000004</v>
      </c>
      <c r="I252">
        <f>IF(MONTH(calls[[#This Row],[Date of Call]])&lt;=6, YEAR(calls[[#This Row],[Date of Call]]), YEAR(calls[[#This Row],[Date of Call]])+1)</f>
        <v>2025</v>
      </c>
      <c r="J252" t="str">
        <f>TEXT(calls[[#This Row],[Date of Call]],"DDDD")</f>
        <v>Thursday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324</v>
      </c>
      <c r="C253" t="s">
        <v>47</v>
      </c>
      <c r="D253">
        <v>48</v>
      </c>
      <c r="E253" s="17" t="s">
        <v>35</v>
      </c>
      <c r="F253" s="18">
        <v>45736</v>
      </c>
      <c r="G253">
        <v>200</v>
      </c>
      <c r="H253">
        <v>3.9</v>
      </c>
      <c r="I253">
        <f>IF(MONTH(calls[[#This Row],[Date of Call]])&lt;=6, YEAR(calls[[#This Row],[Date of Call]]), YEAR(calls[[#This Row],[Date of Call]])+1)</f>
        <v>2025</v>
      </c>
      <c r="J253" t="str">
        <f>TEXT(calls[[#This Row],[Date of Call]],"DDDD")</f>
        <v>Thursday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325</v>
      </c>
      <c r="C254" t="s">
        <v>46</v>
      </c>
      <c r="D254">
        <v>55</v>
      </c>
      <c r="E254" s="17" t="s">
        <v>38</v>
      </c>
      <c r="F254" s="18">
        <v>45736</v>
      </c>
      <c r="G254">
        <v>99</v>
      </c>
      <c r="H254">
        <v>2.7</v>
      </c>
      <c r="I254">
        <f>IF(MONTH(calls[[#This Row],[Date of Call]])&lt;=6, YEAR(calls[[#This Row],[Date of Call]]), YEAR(calls[[#This Row],[Date of Call]])+1)</f>
        <v>2025</v>
      </c>
      <c r="J254" t="str">
        <f>TEXT(calls[[#This Row],[Date of Call]],"DDDD")</f>
        <v>Thursday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326</v>
      </c>
      <c r="C255" t="s">
        <v>59</v>
      </c>
      <c r="D255">
        <v>88</v>
      </c>
      <c r="E255" s="17" t="s">
        <v>36</v>
      </c>
      <c r="F255" s="18">
        <v>45736</v>
      </c>
      <c r="G255">
        <v>144</v>
      </c>
      <c r="H255">
        <v>2.9</v>
      </c>
      <c r="I255">
        <f>IF(MONTH(calls[[#This Row],[Date of Call]])&lt;=6, YEAR(calls[[#This Row],[Date of Call]]), YEAR(calls[[#This Row],[Date of Call]])+1)</f>
        <v>2025</v>
      </c>
      <c r="J255" t="str">
        <f>TEXT(calls[[#This Row],[Date of Call]],"DDDD")</f>
        <v>Thursday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327</v>
      </c>
      <c r="C256" t="s">
        <v>56</v>
      </c>
      <c r="D256">
        <v>102</v>
      </c>
      <c r="E256" s="17" t="s">
        <v>34</v>
      </c>
      <c r="F256" s="18">
        <v>45737</v>
      </c>
      <c r="G256">
        <v>81</v>
      </c>
      <c r="H256">
        <v>4</v>
      </c>
      <c r="I256">
        <f>IF(MONTH(calls[[#This Row],[Date of Call]])&lt;=6, YEAR(calls[[#This Row],[Date of Call]]), YEAR(calls[[#This Row],[Date of Call]])+1)</f>
        <v>2025</v>
      </c>
      <c r="J256" t="str">
        <f>TEXT(calls[[#This Row],[Date of Call]],"DDDD")</f>
        <v>Friday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328</v>
      </c>
      <c r="C257" t="s">
        <v>59</v>
      </c>
      <c r="D257">
        <v>155</v>
      </c>
      <c r="E257" s="17" t="s">
        <v>36</v>
      </c>
      <c r="F257" s="18">
        <v>45737</v>
      </c>
      <c r="G257">
        <v>70</v>
      </c>
      <c r="H257">
        <v>4.4000000000000004</v>
      </c>
      <c r="I257">
        <f>IF(MONTH(calls[[#This Row],[Date of Call]])&lt;=6, YEAR(calls[[#This Row],[Date of Call]]), YEAR(calls[[#This Row],[Date of Call]])+1)</f>
        <v>2025</v>
      </c>
      <c r="J257" t="str">
        <f>TEXT(calls[[#This Row],[Date of Call]],"DDDD")</f>
        <v>Friday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329</v>
      </c>
      <c r="C258" t="s">
        <v>46</v>
      </c>
      <c r="D258">
        <v>63</v>
      </c>
      <c r="E258" s="17" t="s">
        <v>36</v>
      </c>
      <c r="F258" s="18">
        <v>45737</v>
      </c>
      <c r="G258">
        <v>148</v>
      </c>
      <c r="H258">
        <v>5</v>
      </c>
      <c r="I258">
        <f>IF(MONTH(calls[[#This Row],[Date of Call]])&lt;=6, YEAR(calls[[#This Row],[Date of Call]]), YEAR(calls[[#This Row],[Date of Call]])+1)</f>
        <v>2025</v>
      </c>
      <c r="J258" t="str">
        <f>TEXT(calls[[#This Row],[Date of Call]],"DDDD")</f>
        <v>Friday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330</v>
      </c>
      <c r="C259" t="s">
        <v>50</v>
      </c>
      <c r="D259">
        <v>59</v>
      </c>
      <c r="E259" s="17" t="s">
        <v>34</v>
      </c>
      <c r="F259" s="18">
        <v>45737</v>
      </c>
      <c r="G259">
        <v>215</v>
      </c>
      <c r="H259">
        <v>4.0999999999999996</v>
      </c>
      <c r="I259">
        <f>IF(MONTH(calls[[#This Row],[Date of Call]])&lt;=6, YEAR(calls[[#This Row],[Date of Call]]), YEAR(calls[[#This Row],[Date of Call]])+1)</f>
        <v>2025</v>
      </c>
      <c r="J259" t="str">
        <f>TEXT(calls[[#This Row],[Date of Call]],"DDDD")</f>
        <v>Friday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331</v>
      </c>
      <c r="C260" t="s">
        <v>50</v>
      </c>
      <c r="D260">
        <v>144</v>
      </c>
      <c r="E260" s="17" t="s">
        <v>35</v>
      </c>
      <c r="F260" s="18">
        <v>45737</v>
      </c>
      <c r="G260">
        <v>124</v>
      </c>
      <c r="H260">
        <v>4.4000000000000004</v>
      </c>
      <c r="I260">
        <f>IF(MONTH(calls[[#This Row],[Date of Call]])&lt;=6, YEAR(calls[[#This Row],[Date of Call]]), YEAR(calls[[#This Row],[Date of Call]])+1)</f>
        <v>2025</v>
      </c>
      <c r="J260" t="str">
        <f>TEXT(calls[[#This Row],[Date of Call]],"DDDD")</f>
        <v>Friday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332</v>
      </c>
      <c r="C261" t="s">
        <v>57</v>
      </c>
      <c r="D261">
        <v>113</v>
      </c>
      <c r="E261" s="17" t="s">
        <v>37</v>
      </c>
      <c r="F261" s="18">
        <v>45737</v>
      </c>
      <c r="G261">
        <v>168</v>
      </c>
      <c r="H261">
        <v>4.0999999999999996</v>
      </c>
      <c r="I261">
        <f>IF(MONTH(calls[[#This Row],[Date of Call]])&lt;=6, YEAR(calls[[#This Row],[Date of Call]]), YEAR(calls[[#This Row],[Date of Call]])+1)</f>
        <v>2025</v>
      </c>
      <c r="J261" t="str">
        <f>TEXT(calls[[#This Row],[Date of Call]],"DDDD")</f>
        <v>Friday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333</v>
      </c>
      <c r="C262" t="s">
        <v>48</v>
      </c>
      <c r="D262">
        <v>154</v>
      </c>
      <c r="E262" s="17" t="s">
        <v>38</v>
      </c>
      <c r="F262" s="18">
        <v>45737</v>
      </c>
      <c r="G262">
        <v>90</v>
      </c>
      <c r="H262">
        <v>4.5</v>
      </c>
      <c r="I262">
        <f>IF(MONTH(calls[[#This Row],[Date of Call]])&lt;=6, YEAR(calls[[#This Row],[Date of Call]]), YEAR(calls[[#This Row],[Date of Call]])+1)</f>
        <v>2025</v>
      </c>
      <c r="J262" t="str">
        <f>TEXT(calls[[#This Row],[Date of Call]],"DDDD")</f>
        <v>Friday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334</v>
      </c>
      <c r="C263" t="s">
        <v>48</v>
      </c>
      <c r="D263">
        <v>58</v>
      </c>
      <c r="E263" s="17" t="s">
        <v>34</v>
      </c>
      <c r="F263" s="18">
        <v>45738</v>
      </c>
      <c r="G263">
        <v>176</v>
      </c>
      <c r="H263">
        <v>4.2</v>
      </c>
      <c r="I263">
        <f>IF(MONTH(calls[[#This Row],[Date of Call]])&lt;=6, YEAR(calls[[#This Row],[Date of Call]]), YEAR(calls[[#This Row],[Date of Call]])+1)</f>
        <v>2025</v>
      </c>
      <c r="J263" t="str">
        <f>TEXT(calls[[#This Row],[Date of Call]],"DDDD")</f>
        <v>Saturday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335</v>
      </c>
      <c r="C264" t="s">
        <v>47</v>
      </c>
      <c r="D264">
        <v>63</v>
      </c>
      <c r="E264" s="17" t="s">
        <v>36</v>
      </c>
      <c r="F264" s="18">
        <v>45738</v>
      </c>
      <c r="G264">
        <v>87</v>
      </c>
      <c r="H264">
        <v>4.5999999999999996</v>
      </c>
      <c r="I264">
        <f>IF(MONTH(calls[[#This Row],[Date of Call]])&lt;=6, YEAR(calls[[#This Row],[Date of Call]]), YEAR(calls[[#This Row],[Date of Call]])+1)</f>
        <v>2025</v>
      </c>
      <c r="J264" t="str">
        <f>TEXT(calls[[#This Row],[Date of Call]],"DDDD")</f>
        <v>Saturday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336</v>
      </c>
      <c r="C265" t="s">
        <v>58</v>
      </c>
      <c r="D265">
        <v>59</v>
      </c>
      <c r="E265" s="17" t="s">
        <v>35</v>
      </c>
      <c r="F265" s="18">
        <v>45738</v>
      </c>
      <c r="G265">
        <v>128</v>
      </c>
      <c r="H265">
        <v>4.5</v>
      </c>
      <c r="I265">
        <f>IF(MONTH(calls[[#This Row],[Date of Call]])&lt;=6, YEAR(calls[[#This Row],[Date of Call]]), YEAR(calls[[#This Row],[Date of Call]])+1)</f>
        <v>2025</v>
      </c>
      <c r="J265" t="str">
        <f>TEXT(calls[[#This Row],[Date of Call]],"DDDD")</f>
        <v>Saturday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337</v>
      </c>
      <c r="C266" t="s">
        <v>51</v>
      </c>
      <c r="D266">
        <v>129</v>
      </c>
      <c r="E266" s="17" t="s">
        <v>36</v>
      </c>
      <c r="F266" s="18">
        <v>45738</v>
      </c>
      <c r="G266">
        <v>120</v>
      </c>
      <c r="H266">
        <v>4.0999999999999996</v>
      </c>
      <c r="I266">
        <f>IF(MONTH(calls[[#This Row],[Date of Call]])&lt;=6, YEAR(calls[[#This Row],[Date of Call]]), YEAR(calls[[#This Row],[Date of Call]])+1)</f>
        <v>2025</v>
      </c>
      <c r="J266" t="str">
        <f>TEXT(calls[[#This Row],[Date of Call]],"DDDD")</f>
        <v>Saturday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338</v>
      </c>
      <c r="C267" t="s">
        <v>49</v>
      </c>
      <c r="D267">
        <v>101</v>
      </c>
      <c r="E267" s="17" t="s">
        <v>37</v>
      </c>
      <c r="F267" s="18">
        <v>45738</v>
      </c>
      <c r="G267">
        <v>130</v>
      </c>
      <c r="H267">
        <v>4.8</v>
      </c>
      <c r="I267">
        <f>IF(MONTH(calls[[#This Row],[Date of Call]])&lt;=6, YEAR(calls[[#This Row],[Date of Call]]), YEAR(calls[[#This Row],[Date of Call]])+1)</f>
        <v>2025</v>
      </c>
      <c r="J267" t="str">
        <f>TEXT(calls[[#This Row],[Date of Call]],"DDDD")</f>
        <v>Saturday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339</v>
      </c>
      <c r="C268" t="s">
        <v>54</v>
      </c>
      <c r="D268">
        <v>154</v>
      </c>
      <c r="E268" s="17" t="s">
        <v>35</v>
      </c>
      <c r="F268" s="18">
        <v>45738</v>
      </c>
      <c r="G268">
        <v>172</v>
      </c>
      <c r="H268">
        <v>3.1</v>
      </c>
      <c r="I268">
        <f>IF(MONTH(calls[[#This Row],[Date of Call]])&lt;=6, YEAR(calls[[#This Row],[Date of Call]]), YEAR(calls[[#This Row],[Date of Call]])+1)</f>
        <v>2025</v>
      </c>
      <c r="J268" t="str">
        <f>TEXT(calls[[#This Row],[Date of Call]],"DDDD")</f>
        <v>Saturday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340</v>
      </c>
      <c r="C269" t="s">
        <v>52</v>
      </c>
      <c r="D269">
        <v>131</v>
      </c>
      <c r="E269" s="17" t="s">
        <v>35</v>
      </c>
      <c r="F269" s="18">
        <v>45738</v>
      </c>
      <c r="G269">
        <v>58</v>
      </c>
      <c r="H269">
        <v>4.9000000000000004</v>
      </c>
      <c r="I269">
        <f>IF(MONTH(calls[[#This Row],[Date of Call]])&lt;=6, YEAR(calls[[#This Row],[Date of Call]]), YEAR(calls[[#This Row],[Date of Call]])+1)</f>
        <v>2025</v>
      </c>
      <c r="J269" t="str">
        <f>TEXT(calls[[#This Row],[Date of Call]],"DDDD")</f>
        <v>Saturday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341</v>
      </c>
      <c r="C270" t="s">
        <v>50</v>
      </c>
      <c r="D270">
        <v>111</v>
      </c>
      <c r="E270" s="17" t="s">
        <v>37</v>
      </c>
      <c r="F270" s="18">
        <v>45739</v>
      </c>
      <c r="G270">
        <v>86</v>
      </c>
      <c r="H270">
        <v>4.0999999999999996</v>
      </c>
      <c r="I270">
        <f>IF(MONTH(calls[[#This Row],[Date of Call]])&lt;=6, YEAR(calls[[#This Row],[Date of Call]]), YEAR(calls[[#This Row],[Date of Call]])+1)</f>
        <v>2025</v>
      </c>
      <c r="J270" t="str">
        <f>TEXT(calls[[#This Row],[Date of Call]],"DDDD")</f>
        <v>Sunday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342</v>
      </c>
      <c r="C271" t="s">
        <v>48</v>
      </c>
      <c r="D271">
        <v>142</v>
      </c>
      <c r="E271" s="17" t="s">
        <v>37</v>
      </c>
      <c r="F271" s="18">
        <v>45740</v>
      </c>
      <c r="G271">
        <v>31</v>
      </c>
      <c r="H271">
        <v>4.4000000000000004</v>
      </c>
      <c r="I271">
        <f>IF(MONTH(calls[[#This Row],[Date of Call]])&lt;=6, YEAR(calls[[#This Row],[Date of Call]]), YEAR(calls[[#This Row],[Date of Call]])+1)</f>
        <v>2025</v>
      </c>
      <c r="J271" t="str">
        <f>TEXT(calls[[#This Row],[Date of Call]],"DDDD")</f>
        <v>Monday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343</v>
      </c>
      <c r="C272" t="s">
        <v>56</v>
      </c>
      <c r="D272">
        <v>93</v>
      </c>
      <c r="E272" s="17" t="s">
        <v>36</v>
      </c>
      <c r="F272" s="18">
        <v>45740</v>
      </c>
      <c r="G272">
        <v>72</v>
      </c>
      <c r="H272">
        <v>4.4000000000000004</v>
      </c>
      <c r="I272">
        <f>IF(MONTH(calls[[#This Row],[Date of Call]])&lt;=6, YEAR(calls[[#This Row],[Date of Call]]), YEAR(calls[[#This Row],[Date of Call]])+1)</f>
        <v>2025</v>
      </c>
      <c r="J272" t="str">
        <f>TEXT(calls[[#This Row],[Date of Call]],"DDDD")</f>
        <v>Monday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344</v>
      </c>
      <c r="C273" t="s">
        <v>48</v>
      </c>
      <c r="D273">
        <v>125</v>
      </c>
      <c r="E273" s="17" t="s">
        <v>38</v>
      </c>
      <c r="F273" s="18">
        <v>45741</v>
      </c>
      <c r="G273">
        <v>27</v>
      </c>
      <c r="H273">
        <v>3</v>
      </c>
      <c r="I273">
        <f>IF(MONTH(calls[[#This Row],[Date of Call]])&lt;=6, YEAR(calls[[#This Row],[Date of Call]]), YEAR(calls[[#This Row],[Date of Call]])+1)</f>
        <v>2025</v>
      </c>
      <c r="J273" t="str">
        <f>TEXT(calls[[#This Row],[Date of Call]],"DDDD")</f>
        <v>Tuesday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345</v>
      </c>
      <c r="C274" t="s">
        <v>51</v>
      </c>
      <c r="D274">
        <v>76</v>
      </c>
      <c r="E274" s="17" t="s">
        <v>35</v>
      </c>
      <c r="F274" s="18">
        <v>45741</v>
      </c>
      <c r="G274">
        <v>110</v>
      </c>
      <c r="H274">
        <v>4.4000000000000004</v>
      </c>
      <c r="I274">
        <f>IF(MONTH(calls[[#This Row],[Date of Call]])&lt;=6, YEAR(calls[[#This Row],[Date of Call]]), YEAR(calls[[#This Row],[Date of Call]])+1)</f>
        <v>2025</v>
      </c>
      <c r="J274" t="str">
        <f>TEXT(calls[[#This Row],[Date of Call]],"DDDD")</f>
        <v>Tuesday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346</v>
      </c>
      <c r="C275" t="s">
        <v>57</v>
      </c>
      <c r="D275">
        <v>69</v>
      </c>
      <c r="E275" s="17" t="s">
        <v>36</v>
      </c>
      <c r="F275" s="18">
        <v>45741</v>
      </c>
      <c r="G275">
        <v>126</v>
      </c>
      <c r="H275">
        <v>3.7</v>
      </c>
      <c r="I275">
        <f>IF(MONTH(calls[[#This Row],[Date of Call]])&lt;=6, YEAR(calls[[#This Row],[Date of Call]]), YEAR(calls[[#This Row],[Date of Call]])+1)</f>
        <v>2025</v>
      </c>
      <c r="J275" t="str">
        <f>TEXT(calls[[#This Row],[Date of Call]],"DDDD")</f>
        <v>Tuesday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347</v>
      </c>
      <c r="C276" t="s">
        <v>58</v>
      </c>
      <c r="D276">
        <v>149</v>
      </c>
      <c r="E276" s="17" t="s">
        <v>38</v>
      </c>
      <c r="F276" s="18">
        <v>45741</v>
      </c>
      <c r="G276">
        <v>60</v>
      </c>
      <c r="H276">
        <v>3.9</v>
      </c>
      <c r="I276">
        <f>IF(MONTH(calls[[#This Row],[Date of Call]])&lt;=6, YEAR(calls[[#This Row],[Date of Call]]), YEAR(calls[[#This Row],[Date of Call]])+1)</f>
        <v>2025</v>
      </c>
      <c r="J276" t="str">
        <f>TEXT(calls[[#This Row],[Date of Call]],"DDDD")</f>
        <v>Tuesday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348</v>
      </c>
      <c r="C277" t="s">
        <v>48</v>
      </c>
      <c r="D277">
        <v>57</v>
      </c>
      <c r="E277" s="17" t="s">
        <v>36</v>
      </c>
      <c r="F277" s="18">
        <v>45741</v>
      </c>
      <c r="G277">
        <v>35</v>
      </c>
      <c r="H277">
        <v>3.5</v>
      </c>
      <c r="I277">
        <f>IF(MONTH(calls[[#This Row],[Date of Call]])&lt;=6, YEAR(calls[[#This Row],[Date of Call]]), YEAR(calls[[#This Row],[Date of Call]])+1)</f>
        <v>2025</v>
      </c>
      <c r="J277" t="str">
        <f>TEXT(calls[[#This Row],[Date of Call]],"DDDD")</f>
        <v>Tuesday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349</v>
      </c>
      <c r="C278" t="s">
        <v>46</v>
      </c>
      <c r="D278">
        <v>113</v>
      </c>
      <c r="E278" s="17" t="s">
        <v>35</v>
      </c>
      <c r="F278" s="18">
        <v>45741</v>
      </c>
      <c r="G278">
        <v>81</v>
      </c>
      <c r="H278">
        <v>3.5</v>
      </c>
      <c r="I278">
        <f>IF(MONTH(calls[[#This Row],[Date of Call]])&lt;=6, YEAR(calls[[#This Row],[Date of Call]]), YEAR(calls[[#This Row],[Date of Call]])+1)</f>
        <v>2025</v>
      </c>
      <c r="J278" t="str">
        <f>TEXT(calls[[#This Row],[Date of Call]],"DDDD")</f>
        <v>Tuesday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350</v>
      </c>
      <c r="C279" t="s">
        <v>45</v>
      </c>
      <c r="D279">
        <v>160</v>
      </c>
      <c r="E279" s="17" t="s">
        <v>38</v>
      </c>
      <c r="F279" s="18">
        <v>45741</v>
      </c>
      <c r="G279">
        <v>116</v>
      </c>
      <c r="H279">
        <v>3.4</v>
      </c>
      <c r="I279">
        <f>IF(MONTH(calls[[#This Row],[Date of Call]])&lt;=6, YEAR(calls[[#This Row],[Date of Call]]), YEAR(calls[[#This Row],[Date of Call]])+1)</f>
        <v>2025</v>
      </c>
      <c r="J279" t="str">
        <f>TEXT(calls[[#This Row],[Date of Call]],"DDDD")</f>
        <v>Tuesday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351</v>
      </c>
      <c r="C280" t="s">
        <v>47</v>
      </c>
      <c r="D280">
        <v>158</v>
      </c>
      <c r="E280" s="17" t="s">
        <v>34</v>
      </c>
      <c r="F280" s="18">
        <v>45741</v>
      </c>
      <c r="G280">
        <v>60</v>
      </c>
      <c r="H280">
        <v>4.5</v>
      </c>
      <c r="I280">
        <f>IF(MONTH(calls[[#This Row],[Date of Call]])&lt;=6, YEAR(calls[[#This Row],[Date of Call]]), YEAR(calls[[#This Row],[Date of Call]])+1)</f>
        <v>2025</v>
      </c>
      <c r="J280" t="str">
        <f>TEXT(calls[[#This Row],[Date of Call]],"DDDD")</f>
        <v>Tuesday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352</v>
      </c>
      <c r="C281" t="s">
        <v>57</v>
      </c>
      <c r="D281">
        <v>77</v>
      </c>
      <c r="E281" s="17" t="s">
        <v>38</v>
      </c>
      <c r="F281" s="18">
        <v>45742</v>
      </c>
      <c r="G281">
        <v>130</v>
      </c>
      <c r="H281">
        <v>4.2</v>
      </c>
      <c r="I281">
        <f>IF(MONTH(calls[[#This Row],[Date of Call]])&lt;=6, YEAR(calls[[#This Row],[Date of Call]]), YEAR(calls[[#This Row],[Date of Call]])+1)</f>
        <v>2025</v>
      </c>
      <c r="J281" t="str">
        <f>TEXT(calls[[#This Row],[Date of Call]],"DDDD")</f>
        <v>Wednesday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353</v>
      </c>
      <c r="C282" t="s">
        <v>53</v>
      </c>
      <c r="D282">
        <v>118</v>
      </c>
      <c r="E282" s="17" t="s">
        <v>37</v>
      </c>
      <c r="F282" s="18">
        <v>45742</v>
      </c>
      <c r="G282">
        <v>99</v>
      </c>
      <c r="H282">
        <v>5</v>
      </c>
      <c r="I282">
        <f>IF(MONTH(calls[[#This Row],[Date of Call]])&lt;=6, YEAR(calls[[#This Row],[Date of Call]]), YEAR(calls[[#This Row],[Date of Call]])+1)</f>
        <v>2025</v>
      </c>
      <c r="J282" t="str">
        <f>TEXT(calls[[#This Row],[Date of Call]],"DDDD")</f>
        <v>Wednesday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354</v>
      </c>
      <c r="C283" t="s">
        <v>54</v>
      </c>
      <c r="D283">
        <v>75</v>
      </c>
      <c r="E283" s="17" t="s">
        <v>35</v>
      </c>
      <c r="F283" s="18">
        <v>45742</v>
      </c>
      <c r="G283">
        <v>135</v>
      </c>
      <c r="H283">
        <v>4.7</v>
      </c>
      <c r="I283">
        <f>IF(MONTH(calls[[#This Row],[Date of Call]])&lt;=6, YEAR(calls[[#This Row],[Date of Call]]), YEAR(calls[[#This Row],[Date of Call]])+1)</f>
        <v>2025</v>
      </c>
      <c r="J283" t="str">
        <f>TEXT(calls[[#This Row],[Date of Call]],"DDDD")</f>
        <v>Wednesday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355</v>
      </c>
      <c r="C284" t="s">
        <v>46</v>
      </c>
      <c r="D284">
        <v>103</v>
      </c>
      <c r="E284" s="17" t="s">
        <v>38</v>
      </c>
      <c r="F284" s="18">
        <v>45742</v>
      </c>
      <c r="G284">
        <v>42</v>
      </c>
      <c r="H284">
        <v>2.8</v>
      </c>
      <c r="I284">
        <f>IF(MONTH(calls[[#This Row],[Date of Call]])&lt;=6, YEAR(calls[[#This Row],[Date of Call]]), YEAR(calls[[#This Row],[Date of Call]])+1)</f>
        <v>2025</v>
      </c>
      <c r="J284" t="str">
        <f>TEXT(calls[[#This Row],[Date of Call]],"DDDD")</f>
        <v>Wednesday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356</v>
      </c>
      <c r="C285" t="s">
        <v>57</v>
      </c>
      <c r="D285">
        <v>116</v>
      </c>
      <c r="E285" s="17" t="s">
        <v>37</v>
      </c>
      <c r="F285" s="18">
        <v>45743</v>
      </c>
      <c r="G285">
        <v>63</v>
      </c>
      <c r="H285">
        <v>3.4</v>
      </c>
      <c r="I285">
        <f>IF(MONTH(calls[[#This Row],[Date of Call]])&lt;=6, YEAR(calls[[#This Row],[Date of Call]]), YEAR(calls[[#This Row],[Date of Call]])+1)</f>
        <v>2025</v>
      </c>
      <c r="J285" t="str">
        <f>TEXT(calls[[#This Row],[Date of Call]],"DDDD")</f>
        <v>Thursday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357</v>
      </c>
      <c r="C286" t="s">
        <v>50</v>
      </c>
      <c r="D286">
        <v>61</v>
      </c>
      <c r="E286" s="17" t="s">
        <v>34</v>
      </c>
      <c r="F286" s="18">
        <v>45743</v>
      </c>
      <c r="G286">
        <v>140</v>
      </c>
      <c r="H286">
        <v>1.8</v>
      </c>
      <c r="I286">
        <f>IF(MONTH(calls[[#This Row],[Date of Call]])&lt;=6, YEAR(calls[[#This Row],[Date of Call]]), YEAR(calls[[#This Row],[Date of Call]])+1)</f>
        <v>2025</v>
      </c>
      <c r="J286" t="str">
        <f>TEXT(calls[[#This Row],[Date of Call]],"DDDD")</f>
        <v>Thursday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358</v>
      </c>
      <c r="C287" t="s">
        <v>48</v>
      </c>
      <c r="D287">
        <v>126</v>
      </c>
      <c r="E287" s="17" t="s">
        <v>35</v>
      </c>
      <c r="F287" s="18">
        <v>45743</v>
      </c>
      <c r="G287">
        <v>128</v>
      </c>
      <c r="H287">
        <v>4.2</v>
      </c>
      <c r="I287">
        <f>IF(MONTH(calls[[#This Row],[Date of Call]])&lt;=6, YEAR(calls[[#This Row],[Date of Call]]), YEAR(calls[[#This Row],[Date of Call]])+1)</f>
        <v>2025</v>
      </c>
      <c r="J287" t="str">
        <f>TEXT(calls[[#This Row],[Date of Call]],"DDDD")</f>
        <v>Thursday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359</v>
      </c>
      <c r="C288" t="s">
        <v>49</v>
      </c>
      <c r="D288">
        <v>141</v>
      </c>
      <c r="E288" s="17" t="s">
        <v>36</v>
      </c>
      <c r="F288" s="18">
        <v>45743</v>
      </c>
      <c r="G288">
        <v>80</v>
      </c>
      <c r="H288">
        <v>4.4000000000000004</v>
      </c>
      <c r="I288">
        <f>IF(MONTH(calls[[#This Row],[Date of Call]])&lt;=6, YEAR(calls[[#This Row],[Date of Call]]), YEAR(calls[[#This Row],[Date of Call]])+1)</f>
        <v>2025</v>
      </c>
      <c r="J288" t="str">
        <f>TEXT(calls[[#This Row],[Date of Call]],"DDDD")</f>
        <v>Thursday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360</v>
      </c>
      <c r="C289" t="s">
        <v>47</v>
      </c>
      <c r="D289">
        <v>95</v>
      </c>
      <c r="E289" s="17" t="s">
        <v>37</v>
      </c>
      <c r="F289" s="18">
        <v>45743</v>
      </c>
      <c r="G289">
        <v>28</v>
      </c>
      <c r="H289">
        <v>2.7</v>
      </c>
      <c r="I289">
        <f>IF(MONTH(calls[[#This Row],[Date of Call]])&lt;=6, YEAR(calls[[#This Row],[Date of Call]]), YEAR(calls[[#This Row],[Date of Call]])+1)</f>
        <v>2025</v>
      </c>
      <c r="J289" t="str">
        <f>TEXT(calls[[#This Row],[Date of Call]],"DDDD")</f>
        <v>Thursday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361</v>
      </c>
      <c r="C290" t="s">
        <v>54</v>
      </c>
      <c r="D290">
        <v>39</v>
      </c>
      <c r="E290" s="17" t="s">
        <v>34</v>
      </c>
      <c r="F290" s="18">
        <v>45744</v>
      </c>
      <c r="G290">
        <v>81</v>
      </c>
      <c r="H290">
        <v>5</v>
      </c>
      <c r="I290">
        <f>IF(MONTH(calls[[#This Row],[Date of Call]])&lt;=6, YEAR(calls[[#This Row],[Date of Call]]), YEAR(calls[[#This Row],[Date of Call]])+1)</f>
        <v>2025</v>
      </c>
      <c r="J290" t="str">
        <f>TEXT(calls[[#This Row],[Date of Call]],"DDDD")</f>
        <v>Friday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362</v>
      </c>
      <c r="C291" t="s">
        <v>46</v>
      </c>
      <c r="D291">
        <v>127</v>
      </c>
      <c r="E291" s="17" t="s">
        <v>35</v>
      </c>
      <c r="F291" s="18">
        <v>45744</v>
      </c>
      <c r="G291">
        <v>99</v>
      </c>
      <c r="H291">
        <v>3.9</v>
      </c>
      <c r="I291">
        <f>IF(MONTH(calls[[#This Row],[Date of Call]])&lt;=6, YEAR(calls[[#This Row],[Date of Call]]), YEAR(calls[[#This Row],[Date of Call]])+1)</f>
        <v>2025</v>
      </c>
      <c r="J291" t="str">
        <f>TEXT(calls[[#This Row],[Date of Call]],"DDDD")</f>
        <v>Friday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363</v>
      </c>
      <c r="C292" t="s">
        <v>50</v>
      </c>
      <c r="D292">
        <v>78</v>
      </c>
      <c r="E292" s="17" t="s">
        <v>35</v>
      </c>
      <c r="F292" s="18">
        <v>45744</v>
      </c>
      <c r="G292">
        <v>43</v>
      </c>
      <c r="H292">
        <v>3.8</v>
      </c>
      <c r="I292">
        <f>IF(MONTH(calls[[#This Row],[Date of Call]])&lt;=6, YEAR(calls[[#This Row],[Date of Call]]), YEAR(calls[[#This Row],[Date of Call]])+1)</f>
        <v>2025</v>
      </c>
      <c r="J292" t="str">
        <f>TEXT(calls[[#This Row],[Date of Call]],"DDDD")</f>
        <v>Friday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364</v>
      </c>
      <c r="C293" t="s">
        <v>53</v>
      </c>
      <c r="D293">
        <v>40</v>
      </c>
      <c r="E293" s="17" t="s">
        <v>35</v>
      </c>
      <c r="F293" s="18">
        <v>45744</v>
      </c>
      <c r="G293">
        <v>34</v>
      </c>
      <c r="H293">
        <v>4.5999999999999996</v>
      </c>
      <c r="I293">
        <f>IF(MONTH(calls[[#This Row],[Date of Call]])&lt;=6, YEAR(calls[[#This Row],[Date of Call]]), YEAR(calls[[#This Row],[Date of Call]])+1)</f>
        <v>2025</v>
      </c>
      <c r="J293" t="str">
        <f>TEXT(calls[[#This Row],[Date of Call]],"DDDD")</f>
        <v>Friday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365</v>
      </c>
      <c r="C294" t="s">
        <v>50</v>
      </c>
      <c r="D294">
        <v>56</v>
      </c>
      <c r="E294" s="17" t="s">
        <v>34</v>
      </c>
      <c r="F294" s="18">
        <v>45744</v>
      </c>
      <c r="G294">
        <v>225</v>
      </c>
      <c r="H294">
        <v>4.5999999999999996</v>
      </c>
      <c r="I294">
        <f>IF(MONTH(calls[[#This Row],[Date of Call]])&lt;=6, YEAR(calls[[#This Row],[Date of Call]]), YEAR(calls[[#This Row],[Date of Call]])+1)</f>
        <v>2025</v>
      </c>
      <c r="J294" t="str">
        <f>TEXT(calls[[#This Row],[Date of Call]],"DDDD")</f>
        <v>Friday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366</v>
      </c>
      <c r="C295" t="s">
        <v>54</v>
      </c>
      <c r="D295">
        <v>59</v>
      </c>
      <c r="E295" s="17" t="s">
        <v>36</v>
      </c>
      <c r="F295" s="18">
        <v>45744</v>
      </c>
      <c r="G295">
        <v>210</v>
      </c>
      <c r="H295">
        <v>4.5</v>
      </c>
      <c r="I295">
        <f>IF(MONTH(calls[[#This Row],[Date of Call]])&lt;=6, YEAR(calls[[#This Row],[Date of Call]]), YEAR(calls[[#This Row],[Date of Call]])+1)</f>
        <v>2025</v>
      </c>
      <c r="J295" t="str">
        <f>TEXT(calls[[#This Row],[Date of Call]],"DDDD")</f>
        <v>Friday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367</v>
      </c>
      <c r="C296" t="s">
        <v>48</v>
      </c>
      <c r="D296">
        <v>30</v>
      </c>
      <c r="E296" s="17" t="s">
        <v>35</v>
      </c>
      <c r="F296" s="18">
        <v>45744</v>
      </c>
      <c r="G296">
        <v>168</v>
      </c>
      <c r="H296">
        <v>4.2</v>
      </c>
      <c r="I296">
        <f>IF(MONTH(calls[[#This Row],[Date of Call]])&lt;=6, YEAR(calls[[#This Row],[Date of Call]]), YEAR(calls[[#This Row],[Date of Call]])+1)</f>
        <v>2025</v>
      </c>
      <c r="J296" t="str">
        <f>TEXT(calls[[#This Row],[Date of Call]],"DDDD")</f>
        <v>Friday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368</v>
      </c>
      <c r="C297" t="s">
        <v>53</v>
      </c>
      <c r="D297">
        <v>63</v>
      </c>
      <c r="E297" s="17" t="s">
        <v>38</v>
      </c>
      <c r="F297" s="18">
        <v>45745</v>
      </c>
      <c r="G297">
        <v>82</v>
      </c>
      <c r="H297">
        <v>4.5</v>
      </c>
      <c r="I297">
        <f>IF(MONTH(calls[[#This Row],[Date of Call]])&lt;=6, YEAR(calls[[#This Row],[Date of Call]]), YEAR(calls[[#This Row],[Date of Call]])+1)</f>
        <v>2025</v>
      </c>
      <c r="J297" t="str">
        <f>TEXT(calls[[#This Row],[Date of Call]],"DDDD")</f>
        <v>Saturday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369</v>
      </c>
      <c r="C298" t="s">
        <v>56</v>
      </c>
      <c r="D298">
        <v>56</v>
      </c>
      <c r="E298" s="17" t="s">
        <v>37</v>
      </c>
      <c r="F298" s="18">
        <v>45745</v>
      </c>
      <c r="G298">
        <v>88</v>
      </c>
      <c r="H298">
        <v>4.0999999999999996</v>
      </c>
      <c r="I298">
        <f>IF(MONTH(calls[[#This Row],[Date of Call]])&lt;=6, YEAR(calls[[#This Row],[Date of Call]]), YEAR(calls[[#This Row],[Date of Call]])+1)</f>
        <v>2025</v>
      </c>
      <c r="J298" t="str">
        <f>TEXT(calls[[#This Row],[Date of Call]],"DDDD")</f>
        <v>Saturday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370</v>
      </c>
      <c r="C299" t="s">
        <v>51</v>
      </c>
      <c r="D299">
        <v>95</v>
      </c>
      <c r="E299" s="17" t="s">
        <v>38</v>
      </c>
      <c r="F299" s="18">
        <v>45745</v>
      </c>
      <c r="G299">
        <v>111</v>
      </c>
      <c r="H299">
        <v>3.3</v>
      </c>
      <c r="I299">
        <f>IF(MONTH(calls[[#This Row],[Date of Call]])&lt;=6, YEAR(calls[[#This Row],[Date of Call]]), YEAR(calls[[#This Row],[Date of Call]])+1)</f>
        <v>2025</v>
      </c>
      <c r="J299" t="str">
        <f>TEXT(calls[[#This Row],[Date of Call]],"DDDD")</f>
        <v>Saturday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371</v>
      </c>
      <c r="C300" t="s">
        <v>55</v>
      </c>
      <c r="D300">
        <v>128</v>
      </c>
      <c r="E300" s="17" t="s">
        <v>36</v>
      </c>
      <c r="F300" s="18">
        <v>45745</v>
      </c>
      <c r="G300">
        <v>60</v>
      </c>
      <c r="H300">
        <v>3.8</v>
      </c>
      <c r="I300">
        <f>IF(MONTH(calls[[#This Row],[Date of Call]])&lt;=6, YEAR(calls[[#This Row],[Date of Call]]), YEAR(calls[[#This Row],[Date of Call]])+1)</f>
        <v>2025</v>
      </c>
      <c r="J300" t="str">
        <f>TEXT(calls[[#This Row],[Date of Call]],"DDDD")</f>
        <v>Saturday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372</v>
      </c>
      <c r="C301" t="s">
        <v>47</v>
      </c>
      <c r="D301">
        <v>49</v>
      </c>
      <c r="E301" s="17" t="s">
        <v>38</v>
      </c>
      <c r="F301" s="18">
        <v>45745</v>
      </c>
      <c r="G301">
        <v>80</v>
      </c>
      <c r="H301">
        <v>3</v>
      </c>
      <c r="I301">
        <f>IF(MONTH(calls[[#This Row],[Date of Call]])&lt;=6, YEAR(calls[[#This Row],[Date of Call]]), YEAR(calls[[#This Row],[Date of Call]])+1)</f>
        <v>2025</v>
      </c>
      <c r="J301" t="str">
        <f>TEXT(calls[[#This Row],[Date of Call]],"DDDD")</f>
        <v>Saturday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373</v>
      </c>
      <c r="C302" t="s">
        <v>55</v>
      </c>
      <c r="D302">
        <v>89</v>
      </c>
      <c r="E302" s="17" t="s">
        <v>34</v>
      </c>
      <c r="F302" s="18">
        <v>45747</v>
      </c>
      <c r="G302">
        <v>90</v>
      </c>
      <c r="H302">
        <v>4.5999999999999996</v>
      </c>
      <c r="I302">
        <f>IF(MONTH(calls[[#This Row],[Date of Call]])&lt;=6, YEAR(calls[[#This Row],[Date of Call]]), YEAR(calls[[#This Row],[Date of Call]])+1)</f>
        <v>2025</v>
      </c>
      <c r="J302" t="str">
        <f>TEXT(calls[[#This Row],[Date of Call]],"DDDD")</f>
        <v>Monday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374</v>
      </c>
      <c r="C303" t="s">
        <v>58</v>
      </c>
      <c r="D303">
        <v>87</v>
      </c>
      <c r="E303" s="17" t="s">
        <v>38</v>
      </c>
      <c r="F303" s="18">
        <v>45747</v>
      </c>
      <c r="G303">
        <v>225</v>
      </c>
      <c r="H303">
        <v>2.9</v>
      </c>
      <c r="I303">
        <f>IF(MONTH(calls[[#This Row],[Date of Call]])&lt;=6, YEAR(calls[[#This Row],[Date of Call]]), YEAR(calls[[#This Row],[Date of Call]])+1)</f>
        <v>2025</v>
      </c>
      <c r="J303" t="str">
        <f>TEXT(calls[[#This Row],[Date of Call]],"DDDD")</f>
        <v>Monday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375</v>
      </c>
      <c r="C304" t="s">
        <v>45</v>
      </c>
      <c r="D304">
        <v>60</v>
      </c>
      <c r="E304" s="17" t="s">
        <v>35</v>
      </c>
      <c r="F304" s="18">
        <v>45748</v>
      </c>
      <c r="G304">
        <v>215</v>
      </c>
      <c r="H304">
        <v>3.2</v>
      </c>
      <c r="I304">
        <f>IF(MONTH(calls[[#This Row],[Date of Call]])&lt;=6, YEAR(calls[[#This Row],[Date of Call]]), YEAR(calls[[#This Row],[Date of Call]])+1)</f>
        <v>2025</v>
      </c>
      <c r="J304" t="str">
        <f>TEXT(calls[[#This Row],[Date of Call]],"DDDD")</f>
        <v>Tuesday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376</v>
      </c>
      <c r="C305" t="s">
        <v>59</v>
      </c>
      <c r="D305">
        <v>42</v>
      </c>
      <c r="E305" s="17" t="s">
        <v>34</v>
      </c>
      <c r="F305" s="18">
        <v>45748</v>
      </c>
      <c r="G305">
        <v>45</v>
      </c>
      <c r="H305">
        <v>1.5</v>
      </c>
      <c r="I305">
        <f>IF(MONTH(calls[[#This Row],[Date of Call]])&lt;=6, YEAR(calls[[#This Row],[Date of Call]]), YEAR(calls[[#This Row],[Date of Call]])+1)</f>
        <v>2025</v>
      </c>
      <c r="J305" t="str">
        <f>TEXT(calls[[#This Row],[Date of Call]],"DDDD")</f>
        <v>Tuesday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377</v>
      </c>
      <c r="C306" t="s">
        <v>52</v>
      </c>
      <c r="D306">
        <v>99</v>
      </c>
      <c r="E306" s="17" t="s">
        <v>35</v>
      </c>
      <c r="F306" s="18">
        <v>45748</v>
      </c>
      <c r="G306">
        <v>74</v>
      </c>
      <c r="H306">
        <v>4</v>
      </c>
      <c r="I306">
        <f>IF(MONTH(calls[[#This Row],[Date of Call]])&lt;=6, YEAR(calls[[#This Row],[Date of Call]]), YEAR(calls[[#This Row],[Date of Call]])+1)</f>
        <v>2025</v>
      </c>
      <c r="J306" t="str">
        <f>TEXT(calls[[#This Row],[Date of Call]],"DDDD")</f>
        <v>Tuesday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378</v>
      </c>
      <c r="C307" t="s">
        <v>56</v>
      </c>
      <c r="D307">
        <v>20</v>
      </c>
      <c r="E307" s="17" t="s">
        <v>34</v>
      </c>
      <c r="F307" s="18">
        <v>45748</v>
      </c>
      <c r="G307">
        <v>60</v>
      </c>
      <c r="H307">
        <v>3.6</v>
      </c>
      <c r="I307">
        <f>IF(MONTH(calls[[#This Row],[Date of Call]])&lt;=6, YEAR(calls[[#This Row],[Date of Call]]), YEAR(calls[[#This Row],[Date of Call]])+1)</f>
        <v>2025</v>
      </c>
      <c r="J307" t="str">
        <f>TEXT(calls[[#This Row],[Date of Call]],"DDDD")</f>
        <v>Tuesday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379</v>
      </c>
      <c r="C308" t="s">
        <v>53</v>
      </c>
      <c r="D308">
        <v>65</v>
      </c>
      <c r="E308" s="17" t="s">
        <v>35</v>
      </c>
      <c r="F308" s="18">
        <v>45748</v>
      </c>
      <c r="G308">
        <v>64</v>
      </c>
      <c r="H308">
        <v>3.7</v>
      </c>
      <c r="I308">
        <f>IF(MONTH(calls[[#This Row],[Date of Call]])&lt;=6, YEAR(calls[[#This Row],[Date of Call]]), YEAR(calls[[#This Row],[Date of Call]])+1)</f>
        <v>2025</v>
      </c>
      <c r="J308" t="str">
        <f>TEXT(calls[[#This Row],[Date of Call]],"DDDD")</f>
        <v>Tuesday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380</v>
      </c>
      <c r="C309" t="s">
        <v>48</v>
      </c>
      <c r="D309">
        <v>71</v>
      </c>
      <c r="E309" s="17" t="s">
        <v>38</v>
      </c>
      <c r="F309" s="18">
        <v>45749</v>
      </c>
      <c r="G309">
        <v>110</v>
      </c>
      <c r="H309">
        <v>4.8</v>
      </c>
      <c r="I309">
        <f>IF(MONTH(calls[[#This Row],[Date of Call]])&lt;=6, YEAR(calls[[#This Row],[Date of Call]]), YEAR(calls[[#This Row],[Date of Call]])+1)</f>
        <v>2025</v>
      </c>
      <c r="J309" t="str">
        <f>TEXT(calls[[#This Row],[Date of Call]],"DDDD")</f>
        <v>Wednesday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381</v>
      </c>
      <c r="C310" t="s">
        <v>46</v>
      </c>
      <c r="D310">
        <v>95</v>
      </c>
      <c r="E310" s="17" t="s">
        <v>36</v>
      </c>
      <c r="F310" s="18">
        <v>45749</v>
      </c>
      <c r="G310">
        <v>52</v>
      </c>
      <c r="H310">
        <v>1.2</v>
      </c>
      <c r="I310">
        <f>IF(MONTH(calls[[#This Row],[Date of Call]])&lt;=6, YEAR(calls[[#This Row],[Date of Call]]), YEAR(calls[[#This Row],[Date of Call]])+1)</f>
        <v>2025</v>
      </c>
      <c r="J310" t="str">
        <f>TEXT(calls[[#This Row],[Date of Call]],"DDDD")</f>
        <v>Wednesday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382</v>
      </c>
      <c r="C311" t="s">
        <v>56</v>
      </c>
      <c r="D311">
        <v>81</v>
      </c>
      <c r="E311" s="17" t="s">
        <v>37</v>
      </c>
      <c r="F311" s="18">
        <v>45750</v>
      </c>
      <c r="G311">
        <v>160</v>
      </c>
      <c r="H311">
        <v>4.7</v>
      </c>
      <c r="I311">
        <f>IF(MONTH(calls[[#This Row],[Date of Call]])&lt;=6, YEAR(calls[[#This Row],[Date of Call]]), YEAR(calls[[#This Row],[Date of Call]])+1)</f>
        <v>2025</v>
      </c>
      <c r="J311" t="str">
        <f>TEXT(calls[[#This Row],[Date of Call]],"DDDD")</f>
        <v>Thursday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383</v>
      </c>
      <c r="C312" t="s">
        <v>57</v>
      </c>
      <c r="D312">
        <v>137</v>
      </c>
      <c r="E312" s="17" t="s">
        <v>37</v>
      </c>
      <c r="F312" s="18">
        <v>45750</v>
      </c>
      <c r="G312">
        <v>215</v>
      </c>
      <c r="H312">
        <v>4.7</v>
      </c>
      <c r="I312">
        <f>IF(MONTH(calls[[#This Row],[Date of Call]])&lt;=6, YEAR(calls[[#This Row],[Date of Call]]), YEAR(calls[[#This Row],[Date of Call]])+1)</f>
        <v>2025</v>
      </c>
      <c r="J312" t="str">
        <f>TEXT(calls[[#This Row],[Date of Call]],"DDDD")</f>
        <v>Thursday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384</v>
      </c>
      <c r="C313" t="s">
        <v>57</v>
      </c>
      <c r="D313">
        <v>40</v>
      </c>
      <c r="E313" s="17" t="s">
        <v>36</v>
      </c>
      <c r="F313" s="18">
        <v>45750</v>
      </c>
      <c r="G313">
        <v>220</v>
      </c>
      <c r="H313">
        <v>4.5</v>
      </c>
      <c r="I313">
        <f>IF(MONTH(calls[[#This Row],[Date of Call]])&lt;=6, YEAR(calls[[#This Row],[Date of Call]]), YEAR(calls[[#This Row],[Date of Call]])+1)</f>
        <v>2025</v>
      </c>
      <c r="J313" t="str">
        <f>TEXT(calls[[#This Row],[Date of Call]],"DDDD")</f>
        <v>Thursday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385</v>
      </c>
      <c r="C314" t="s">
        <v>52</v>
      </c>
      <c r="D314">
        <v>111</v>
      </c>
      <c r="E314" s="17" t="s">
        <v>35</v>
      </c>
      <c r="F314" s="18">
        <v>45751</v>
      </c>
      <c r="G314">
        <v>175</v>
      </c>
      <c r="H314">
        <v>3.5</v>
      </c>
      <c r="I314">
        <f>IF(MONTH(calls[[#This Row],[Date of Call]])&lt;=6, YEAR(calls[[#This Row],[Date of Call]]), YEAR(calls[[#This Row],[Date of Call]])+1)</f>
        <v>2025</v>
      </c>
      <c r="J314" t="str">
        <f>TEXT(calls[[#This Row],[Date of Call]],"DDDD")</f>
        <v>Friday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386</v>
      </c>
      <c r="C315" t="s">
        <v>48</v>
      </c>
      <c r="D315">
        <v>106</v>
      </c>
      <c r="E315" s="17" t="s">
        <v>35</v>
      </c>
      <c r="F315" s="18">
        <v>45751</v>
      </c>
      <c r="G315">
        <v>145</v>
      </c>
      <c r="H315">
        <v>4.0999999999999996</v>
      </c>
      <c r="I315">
        <f>IF(MONTH(calls[[#This Row],[Date of Call]])&lt;=6, YEAR(calls[[#This Row],[Date of Call]]), YEAR(calls[[#This Row],[Date of Call]])+1)</f>
        <v>2025</v>
      </c>
      <c r="J315" t="str">
        <f>TEXT(calls[[#This Row],[Date of Call]],"DDDD")</f>
        <v>Friday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387</v>
      </c>
      <c r="C316" t="s">
        <v>59</v>
      </c>
      <c r="D316">
        <v>133</v>
      </c>
      <c r="E316" s="17" t="s">
        <v>34</v>
      </c>
      <c r="F316" s="18">
        <v>45751</v>
      </c>
      <c r="G316">
        <v>72</v>
      </c>
      <c r="H316">
        <v>4.4000000000000004</v>
      </c>
      <c r="I316">
        <f>IF(MONTH(calls[[#This Row],[Date of Call]])&lt;=6, YEAR(calls[[#This Row],[Date of Call]]), YEAR(calls[[#This Row],[Date of Call]])+1)</f>
        <v>2025</v>
      </c>
      <c r="J316" t="str">
        <f>TEXT(calls[[#This Row],[Date of Call]],"DDDD")</f>
        <v>Friday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388</v>
      </c>
      <c r="C317" t="s">
        <v>50</v>
      </c>
      <c r="D317">
        <v>38</v>
      </c>
      <c r="E317" s="17" t="s">
        <v>35</v>
      </c>
      <c r="F317" s="18">
        <v>45752</v>
      </c>
      <c r="G317">
        <v>81</v>
      </c>
      <c r="H317">
        <v>3.6</v>
      </c>
      <c r="I317">
        <f>IF(MONTH(calls[[#This Row],[Date of Call]])&lt;=6, YEAR(calls[[#This Row],[Date of Call]]), YEAR(calls[[#This Row],[Date of Call]])+1)</f>
        <v>2025</v>
      </c>
      <c r="J317" t="str">
        <f>TEXT(calls[[#This Row],[Date of Call]],"DDDD")</f>
        <v>Saturday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389</v>
      </c>
      <c r="C318" t="s">
        <v>54</v>
      </c>
      <c r="D318">
        <v>130</v>
      </c>
      <c r="E318" s="17" t="s">
        <v>36</v>
      </c>
      <c r="F318" s="18">
        <v>45752</v>
      </c>
      <c r="G318">
        <v>54</v>
      </c>
      <c r="H318">
        <v>4.0999999999999996</v>
      </c>
      <c r="I318">
        <f>IF(MONTH(calls[[#This Row],[Date of Call]])&lt;=6, YEAR(calls[[#This Row],[Date of Call]]), YEAR(calls[[#This Row],[Date of Call]])+1)</f>
        <v>2025</v>
      </c>
      <c r="J318" t="str">
        <f>TEXT(calls[[#This Row],[Date of Call]],"DDDD")</f>
        <v>Saturday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390</v>
      </c>
      <c r="C319" t="s">
        <v>53</v>
      </c>
      <c r="D319">
        <v>23</v>
      </c>
      <c r="E319" s="17" t="s">
        <v>34</v>
      </c>
      <c r="F319" s="18">
        <v>45752</v>
      </c>
      <c r="G319">
        <v>105</v>
      </c>
      <c r="H319">
        <v>4.8</v>
      </c>
      <c r="I319">
        <f>IF(MONTH(calls[[#This Row],[Date of Call]])&lt;=6, YEAR(calls[[#This Row],[Date of Call]]), YEAR(calls[[#This Row],[Date of Call]])+1)</f>
        <v>2025</v>
      </c>
      <c r="J319" t="str">
        <f>TEXT(calls[[#This Row],[Date of Call]],"DDDD")</f>
        <v>Saturday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391</v>
      </c>
      <c r="C320" t="s">
        <v>54</v>
      </c>
      <c r="D320">
        <v>124</v>
      </c>
      <c r="E320" s="17" t="s">
        <v>35</v>
      </c>
      <c r="F320" s="18">
        <v>45753</v>
      </c>
      <c r="G320">
        <v>176</v>
      </c>
      <c r="H320">
        <v>3.9</v>
      </c>
      <c r="I320">
        <f>IF(MONTH(calls[[#This Row],[Date of Call]])&lt;=6, YEAR(calls[[#This Row],[Date of Call]]), YEAR(calls[[#This Row],[Date of Call]])+1)</f>
        <v>2025</v>
      </c>
      <c r="J320" t="str">
        <f>TEXT(calls[[#This Row],[Date of Call]],"DDDD")</f>
        <v>Sunday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392</v>
      </c>
      <c r="C321" t="s">
        <v>56</v>
      </c>
      <c r="D321">
        <v>107</v>
      </c>
      <c r="E321" s="17" t="s">
        <v>35</v>
      </c>
      <c r="F321" s="18">
        <v>45753</v>
      </c>
      <c r="G321">
        <v>115</v>
      </c>
      <c r="H321">
        <v>3.8</v>
      </c>
      <c r="I321">
        <f>IF(MONTH(calls[[#This Row],[Date of Call]])&lt;=6, YEAR(calls[[#This Row],[Date of Call]]), YEAR(calls[[#This Row],[Date of Call]])+1)</f>
        <v>2025</v>
      </c>
      <c r="J321" t="str">
        <f>TEXT(calls[[#This Row],[Date of Call]],"DDDD")</f>
        <v>Sunday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393</v>
      </c>
      <c r="C322" t="s">
        <v>57</v>
      </c>
      <c r="D322">
        <v>60</v>
      </c>
      <c r="E322" s="17" t="s">
        <v>38</v>
      </c>
      <c r="F322" s="18">
        <v>45753</v>
      </c>
      <c r="G322">
        <v>116</v>
      </c>
      <c r="H322">
        <v>3.9</v>
      </c>
      <c r="I322">
        <f>IF(MONTH(calls[[#This Row],[Date of Call]])&lt;=6, YEAR(calls[[#This Row],[Date of Call]]), YEAR(calls[[#This Row],[Date of Call]])+1)</f>
        <v>2025</v>
      </c>
      <c r="J322" t="str">
        <f>TEXT(calls[[#This Row],[Date of Call]],"DDDD")</f>
        <v>Sunday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394</v>
      </c>
      <c r="C323" t="s">
        <v>57</v>
      </c>
      <c r="D323">
        <v>158</v>
      </c>
      <c r="E323" s="17" t="s">
        <v>36</v>
      </c>
      <c r="F323" s="18">
        <v>45753</v>
      </c>
      <c r="G323">
        <v>100</v>
      </c>
      <c r="H323">
        <v>4.0999999999999996</v>
      </c>
      <c r="I323">
        <f>IF(MONTH(calls[[#This Row],[Date of Call]])&lt;=6, YEAR(calls[[#This Row],[Date of Call]]), YEAR(calls[[#This Row],[Date of Call]])+1)</f>
        <v>2025</v>
      </c>
      <c r="J323" t="str">
        <f>TEXT(calls[[#This Row],[Date of Call]],"DDDD")</f>
        <v>Sunday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395</v>
      </c>
      <c r="C324" t="s">
        <v>58</v>
      </c>
      <c r="D324">
        <v>110</v>
      </c>
      <c r="E324" s="17" t="s">
        <v>36</v>
      </c>
      <c r="F324" s="18">
        <v>45754</v>
      </c>
      <c r="G324">
        <v>36</v>
      </c>
      <c r="H324">
        <v>2.2000000000000002</v>
      </c>
      <c r="I324">
        <f>IF(MONTH(calls[[#This Row],[Date of Call]])&lt;=6, YEAR(calls[[#This Row],[Date of Call]]), YEAR(calls[[#This Row],[Date of Call]])+1)</f>
        <v>2025</v>
      </c>
      <c r="J324" t="str">
        <f>TEXT(calls[[#This Row],[Date of Call]],"DDDD")</f>
        <v>Monday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396</v>
      </c>
      <c r="C325" t="s">
        <v>55</v>
      </c>
      <c r="D325">
        <v>70</v>
      </c>
      <c r="E325" s="17" t="s">
        <v>36</v>
      </c>
      <c r="F325" s="18">
        <v>45754</v>
      </c>
      <c r="G325">
        <v>114</v>
      </c>
      <c r="H325">
        <v>5</v>
      </c>
      <c r="I325">
        <f>IF(MONTH(calls[[#This Row],[Date of Call]])&lt;=6, YEAR(calls[[#This Row],[Date of Call]]), YEAR(calls[[#This Row],[Date of Call]])+1)</f>
        <v>2025</v>
      </c>
      <c r="J325" t="str">
        <f>TEXT(calls[[#This Row],[Date of Call]],"DDDD")</f>
        <v>Monday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397</v>
      </c>
      <c r="C326" t="s">
        <v>55</v>
      </c>
      <c r="D326">
        <v>150</v>
      </c>
      <c r="E326" s="17" t="s">
        <v>38</v>
      </c>
      <c r="F326" s="18">
        <v>45754</v>
      </c>
      <c r="G326">
        <v>24</v>
      </c>
      <c r="H326">
        <v>3.8</v>
      </c>
      <c r="I326">
        <f>IF(MONTH(calls[[#This Row],[Date of Call]])&lt;=6, YEAR(calls[[#This Row],[Date of Call]]), YEAR(calls[[#This Row],[Date of Call]])+1)</f>
        <v>2025</v>
      </c>
      <c r="J326" t="str">
        <f>TEXT(calls[[#This Row],[Date of Call]],"DDDD")</f>
        <v>Monday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398</v>
      </c>
      <c r="C327" t="s">
        <v>50</v>
      </c>
      <c r="D327">
        <v>36</v>
      </c>
      <c r="E327" s="17" t="s">
        <v>35</v>
      </c>
      <c r="F327" s="18">
        <v>45754</v>
      </c>
      <c r="G327">
        <v>135</v>
      </c>
      <c r="H327">
        <v>4.5999999999999996</v>
      </c>
      <c r="I327">
        <f>IF(MONTH(calls[[#This Row],[Date of Call]])&lt;=6, YEAR(calls[[#This Row],[Date of Call]]), YEAR(calls[[#This Row],[Date of Call]])+1)</f>
        <v>2025</v>
      </c>
      <c r="J327" t="str">
        <f>TEXT(calls[[#This Row],[Date of Call]],"DDDD")</f>
        <v>Monday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399</v>
      </c>
      <c r="C328" t="s">
        <v>54</v>
      </c>
      <c r="D328">
        <v>74</v>
      </c>
      <c r="E328" s="17" t="s">
        <v>35</v>
      </c>
      <c r="F328" s="18">
        <v>45754</v>
      </c>
      <c r="G328">
        <v>30</v>
      </c>
      <c r="H328">
        <v>4</v>
      </c>
      <c r="I328">
        <f>IF(MONTH(calls[[#This Row],[Date of Call]])&lt;=6, YEAR(calls[[#This Row],[Date of Call]]), YEAR(calls[[#This Row],[Date of Call]])+1)</f>
        <v>2025</v>
      </c>
      <c r="J328" t="str">
        <f>TEXT(calls[[#This Row],[Date of Call]],"DDDD")</f>
        <v>Monday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400</v>
      </c>
      <c r="C329" t="s">
        <v>46</v>
      </c>
      <c r="D329">
        <v>75</v>
      </c>
      <c r="E329" s="17" t="s">
        <v>35</v>
      </c>
      <c r="F329" s="18">
        <v>45754</v>
      </c>
      <c r="G329">
        <v>84</v>
      </c>
      <c r="H329">
        <v>2.8</v>
      </c>
      <c r="I329">
        <f>IF(MONTH(calls[[#This Row],[Date of Call]])&lt;=6, YEAR(calls[[#This Row],[Date of Call]]), YEAR(calls[[#This Row],[Date of Call]])+1)</f>
        <v>2025</v>
      </c>
      <c r="J329" t="str">
        <f>TEXT(calls[[#This Row],[Date of Call]],"DDDD")</f>
        <v>Monday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401</v>
      </c>
      <c r="C330" t="s">
        <v>51</v>
      </c>
      <c r="D330">
        <v>70</v>
      </c>
      <c r="E330" s="17" t="s">
        <v>37</v>
      </c>
      <c r="F330" s="18">
        <v>45754</v>
      </c>
      <c r="G330">
        <v>42</v>
      </c>
      <c r="H330">
        <v>4.4000000000000004</v>
      </c>
      <c r="I330">
        <f>IF(MONTH(calls[[#This Row],[Date of Call]])&lt;=6, YEAR(calls[[#This Row],[Date of Call]]), YEAR(calls[[#This Row],[Date of Call]])+1)</f>
        <v>2025</v>
      </c>
      <c r="J330" t="str">
        <f>TEXT(calls[[#This Row],[Date of Call]],"DDDD")</f>
        <v>Monday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402</v>
      </c>
      <c r="C331" t="s">
        <v>58</v>
      </c>
      <c r="D331">
        <v>23</v>
      </c>
      <c r="E331" s="17" t="s">
        <v>36</v>
      </c>
      <c r="F331" s="18">
        <v>45754</v>
      </c>
      <c r="G331">
        <v>117</v>
      </c>
      <c r="H331">
        <v>2.4</v>
      </c>
      <c r="I331">
        <f>IF(MONTH(calls[[#This Row],[Date of Call]])&lt;=6, YEAR(calls[[#This Row],[Date of Call]]), YEAR(calls[[#This Row],[Date of Call]])+1)</f>
        <v>2025</v>
      </c>
      <c r="J331" t="str">
        <f>TEXT(calls[[#This Row],[Date of Call]],"DDDD")</f>
        <v>Monday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403</v>
      </c>
      <c r="C332" t="s">
        <v>52</v>
      </c>
      <c r="D332">
        <v>104</v>
      </c>
      <c r="E332" s="17" t="s">
        <v>34</v>
      </c>
      <c r="F332" s="18">
        <v>45754</v>
      </c>
      <c r="G332">
        <v>164</v>
      </c>
      <c r="H332">
        <v>4</v>
      </c>
      <c r="I332">
        <f>IF(MONTH(calls[[#This Row],[Date of Call]])&lt;=6, YEAR(calls[[#This Row],[Date of Call]]), YEAR(calls[[#This Row],[Date of Call]])+1)</f>
        <v>2025</v>
      </c>
      <c r="J332" t="str">
        <f>TEXT(calls[[#This Row],[Date of Call]],"DDDD")</f>
        <v>Monday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404</v>
      </c>
      <c r="C333" t="s">
        <v>55</v>
      </c>
      <c r="D333">
        <v>95</v>
      </c>
      <c r="E333" s="17" t="s">
        <v>37</v>
      </c>
      <c r="F333" s="18">
        <v>45755</v>
      </c>
      <c r="G333">
        <v>123</v>
      </c>
      <c r="H333">
        <v>4.4000000000000004</v>
      </c>
      <c r="I333">
        <f>IF(MONTH(calls[[#This Row],[Date of Call]])&lt;=6, YEAR(calls[[#This Row],[Date of Call]]), YEAR(calls[[#This Row],[Date of Call]])+1)</f>
        <v>2025</v>
      </c>
      <c r="J333" t="str">
        <f>TEXT(calls[[#This Row],[Date of Call]],"DDDD")</f>
        <v>Tuesday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405</v>
      </c>
      <c r="C334" t="s">
        <v>47</v>
      </c>
      <c r="D334">
        <v>49</v>
      </c>
      <c r="E334" s="17" t="s">
        <v>38</v>
      </c>
      <c r="F334" s="18">
        <v>45755</v>
      </c>
      <c r="G334">
        <v>172</v>
      </c>
      <c r="H334">
        <v>2.9</v>
      </c>
      <c r="I334">
        <f>IF(MONTH(calls[[#This Row],[Date of Call]])&lt;=6, YEAR(calls[[#This Row],[Date of Call]]), YEAR(calls[[#This Row],[Date of Call]])+1)</f>
        <v>2025</v>
      </c>
      <c r="J334" t="str">
        <f>TEXT(calls[[#This Row],[Date of Call]],"DDDD")</f>
        <v>Tuesday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406</v>
      </c>
      <c r="C335" t="s">
        <v>48</v>
      </c>
      <c r="D335">
        <v>8</v>
      </c>
      <c r="E335" s="17" t="s">
        <v>36</v>
      </c>
      <c r="F335" s="18">
        <v>45755</v>
      </c>
      <c r="G335">
        <v>20</v>
      </c>
      <c r="H335">
        <v>4.8</v>
      </c>
      <c r="I335">
        <f>IF(MONTH(calls[[#This Row],[Date of Call]])&lt;=6, YEAR(calls[[#This Row],[Date of Call]]), YEAR(calls[[#This Row],[Date of Call]])+1)</f>
        <v>2025</v>
      </c>
      <c r="J335" t="str">
        <f>TEXT(calls[[#This Row],[Date of Call]],"DDDD")</f>
        <v>Tuesday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407</v>
      </c>
      <c r="C336" t="s">
        <v>55</v>
      </c>
      <c r="D336">
        <v>157</v>
      </c>
      <c r="E336" s="17" t="s">
        <v>38</v>
      </c>
      <c r="F336" s="18">
        <v>45755</v>
      </c>
      <c r="G336">
        <v>72</v>
      </c>
      <c r="H336">
        <v>3.7</v>
      </c>
      <c r="I336">
        <f>IF(MONTH(calls[[#This Row],[Date of Call]])&lt;=6, YEAR(calls[[#This Row],[Date of Call]]), YEAR(calls[[#This Row],[Date of Call]])+1)</f>
        <v>2025</v>
      </c>
      <c r="J336" t="str">
        <f>TEXT(calls[[#This Row],[Date of Call]],"DDDD")</f>
        <v>Tuesday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408</v>
      </c>
      <c r="C337" t="s">
        <v>56</v>
      </c>
      <c r="D337">
        <v>74</v>
      </c>
      <c r="E337" s="17" t="s">
        <v>35</v>
      </c>
      <c r="F337" s="18">
        <v>45755</v>
      </c>
      <c r="G337">
        <v>32</v>
      </c>
      <c r="H337">
        <v>4.8</v>
      </c>
      <c r="I337">
        <f>IF(MONTH(calls[[#This Row],[Date of Call]])&lt;=6, YEAR(calls[[#This Row],[Date of Call]]), YEAR(calls[[#This Row],[Date of Call]])+1)</f>
        <v>2025</v>
      </c>
      <c r="J337" t="str">
        <f>TEXT(calls[[#This Row],[Date of Call]],"DDDD")</f>
        <v>Tuesday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409</v>
      </c>
      <c r="C338" t="s">
        <v>58</v>
      </c>
      <c r="D338">
        <v>72</v>
      </c>
      <c r="E338" s="17" t="s">
        <v>37</v>
      </c>
      <c r="F338" s="18">
        <v>45755</v>
      </c>
      <c r="G338">
        <v>140</v>
      </c>
      <c r="H338">
        <v>3.2</v>
      </c>
      <c r="I338">
        <f>IF(MONTH(calls[[#This Row],[Date of Call]])&lt;=6, YEAR(calls[[#This Row],[Date of Call]]), YEAR(calls[[#This Row],[Date of Call]])+1)</f>
        <v>2025</v>
      </c>
      <c r="J338" t="str">
        <f>TEXT(calls[[#This Row],[Date of Call]],"DDDD")</f>
        <v>Tuesday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410</v>
      </c>
      <c r="C339" t="s">
        <v>56</v>
      </c>
      <c r="D339">
        <v>79</v>
      </c>
      <c r="E339" s="17" t="s">
        <v>35</v>
      </c>
      <c r="F339" s="18">
        <v>45756</v>
      </c>
      <c r="G339">
        <v>120</v>
      </c>
      <c r="H339">
        <v>4.9000000000000004</v>
      </c>
      <c r="I339">
        <f>IF(MONTH(calls[[#This Row],[Date of Call]])&lt;=6, YEAR(calls[[#This Row],[Date of Call]]), YEAR(calls[[#This Row],[Date of Call]])+1)</f>
        <v>2025</v>
      </c>
      <c r="J339" t="str">
        <f>TEXT(calls[[#This Row],[Date of Call]],"DDDD")</f>
        <v>Wednesday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411</v>
      </c>
      <c r="C340" t="s">
        <v>54</v>
      </c>
      <c r="D340">
        <v>23</v>
      </c>
      <c r="E340" s="17" t="s">
        <v>35</v>
      </c>
      <c r="F340" s="18">
        <v>45756</v>
      </c>
      <c r="G340">
        <v>86</v>
      </c>
      <c r="H340">
        <v>2.2000000000000002</v>
      </c>
      <c r="I340">
        <f>IF(MONTH(calls[[#This Row],[Date of Call]])&lt;=6, YEAR(calls[[#This Row],[Date of Call]]), YEAR(calls[[#This Row],[Date of Call]])+1)</f>
        <v>2025</v>
      </c>
      <c r="J340" t="str">
        <f>TEXT(calls[[#This Row],[Date of Call]],"DDDD")</f>
        <v>Wednesday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412</v>
      </c>
      <c r="C341" t="s">
        <v>46</v>
      </c>
      <c r="D341">
        <v>69</v>
      </c>
      <c r="E341" s="17" t="s">
        <v>35</v>
      </c>
      <c r="F341" s="18">
        <v>45756</v>
      </c>
      <c r="G341">
        <v>132</v>
      </c>
      <c r="H341">
        <v>5</v>
      </c>
      <c r="I341">
        <f>IF(MONTH(calls[[#This Row],[Date of Call]])&lt;=6, YEAR(calls[[#This Row],[Date of Call]]), YEAR(calls[[#This Row],[Date of Call]])+1)</f>
        <v>2025</v>
      </c>
      <c r="J341" t="str">
        <f>TEXT(calls[[#This Row],[Date of Call]],"DDDD")</f>
        <v>Wednesday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413</v>
      </c>
      <c r="C342" t="s">
        <v>57</v>
      </c>
      <c r="D342">
        <v>64</v>
      </c>
      <c r="E342" s="17" t="s">
        <v>35</v>
      </c>
      <c r="F342" s="18">
        <v>45756</v>
      </c>
      <c r="G342">
        <v>80</v>
      </c>
      <c r="H342">
        <v>3.3</v>
      </c>
      <c r="I342">
        <f>IF(MONTH(calls[[#This Row],[Date of Call]])&lt;=6, YEAR(calls[[#This Row],[Date of Call]]), YEAR(calls[[#This Row],[Date of Call]])+1)</f>
        <v>2025</v>
      </c>
      <c r="J342" t="str">
        <f>TEXT(calls[[#This Row],[Date of Call]],"DDDD")</f>
        <v>Wednesday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414</v>
      </c>
      <c r="C343" t="s">
        <v>49</v>
      </c>
      <c r="D343">
        <v>47</v>
      </c>
      <c r="E343" s="17" t="s">
        <v>38</v>
      </c>
      <c r="F343" s="18">
        <v>45756</v>
      </c>
      <c r="G343">
        <v>132</v>
      </c>
      <c r="H343">
        <v>3.7</v>
      </c>
      <c r="I343">
        <f>IF(MONTH(calls[[#This Row],[Date of Call]])&lt;=6, YEAR(calls[[#This Row],[Date of Call]]), YEAR(calls[[#This Row],[Date of Call]])+1)</f>
        <v>2025</v>
      </c>
      <c r="J343" t="str">
        <f>TEXT(calls[[#This Row],[Date of Call]],"DDDD")</f>
        <v>Wednesday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415</v>
      </c>
      <c r="C344" t="s">
        <v>56</v>
      </c>
      <c r="D344">
        <v>55</v>
      </c>
      <c r="E344" s="17" t="s">
        <v>37</v>
      </c>
      <c r="F344" s="18">
        <v>45756</v>
      </c>
      <c r="G344">
        <v>27</v>
      </c>
      <c r="H344">
        <v>3.7</v>
      </c>
      <c r="I344">
        <f>IF(MONTH(calls[[#This Row],[Date of Call]])&lt;=6, YEAR(calls[[#This Row],[Date of Call]]), YEAR(calls[[#This Row],[Date of Call]])+1)</f>
        <v>2025</v>
      </c>
      <c r="J344" t="str">
        <f>TEXT(calls[[#This Row],[Date of Call]],"DDDD")</f>
        <v>Wednesday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416</v>
      </c>
      <c r="C345" t="s">
        <v>52</v>
      </c>
      <c r="D345">
        <v>104</v>
      </c>
      <c r="E345" s="17" t="s">
        <v>37</v>
      </c>
      <c r="F345" s="18">
        <v>45757</v>
      </c>
      <c r="G345">
        <v>68</v>
      </c>
      <c r="H345">
        <v>3.6</v>
      </c>
      <c r="I345">
        <f>IF(MONTH(calls[[#This Row],[Date of Call]])&lt;=6, YEAR(calls[[#This Row],[Date of Call]]), YEAR(calls[[#This Row],[Date of Call]])+1)</f>
        <v>2025</v>
      </c>
      <c r="J345" t="str">
        <f>TEXT(calls[[#This Row],[Date of Call]],"DDDD")</f>
        <v>Thursday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417</v>
      </c>
      <c r="C346" t="s">
        <v>49</v>
      </c>
      <c r="D346">
        <v>116</v>
      </c>
      <c r="E346" s="17" t="s">
        <v>35</v>
      </c>
      <c r="F346" s="18">
        <v>45757</v>
      </c>
      <c r="G346">
        <v>22</v>
      </c>
      <c r="H346">
        <v>4.7</v>
      </c>
      <c r="I346">
        <f>IF(MONTH(calls[[#This Row],[Date of Call]])&lt;=6, YEAR(calls[[#This Row],[Date of Call]]), YEAR(calls[[#This Row],[Date of Call]])+1)</f>
        <v>2025</v>
      </c>
      <c r="J346" t="str">
        <f>TEXT(calls[[#This Row],[Date of Call]],"DDDD")</f>
        <v>Thursday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418</v>
      </c>
      <c r="C347" t="s">
        <v>54</v>
      </c>
      <c r="D347">
        <v>99</v>
      </c>
      <c r="E347" s="17" t="s">
        <v>37</v>
      </c>
      <c r="F347" s="18">
        <v>45757</v>
      </c>
      <c r="G347">
        <v>42</v>
      </c>
      <c r="H347">
        <v>3.1</v>
      </c>
      <c r="I347">
        <f>IF(MONTH(calls[[#This Row],[Date of Call]])&lt;=6, YEAR(calls[[#This Row],[Date of Call]]), YEAR(calls[[#This Row],[Date of Call]])+1)</f>
        <v>2025</v>
      </c>
      <c r="J347" t="str">
        <f>TEXT(calls[[#This Row],[Date of Call]],"DDDD")</f>
        <v>Thursday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419</v>
      </c>
      <c r="C348" t="s">
        <v>52</v>
      </c>
      <c r="D348">
        <v>84</v>
      </c>
      <c r="E348" s="17" t="s">
        <v>37</v>
      </c>
      <c r="F348" s="18">
        <v>45758</v>
      </c>
      <c r="G348">
        <v>38</v>
      </c>
      <c r="H348">
        <v>3.3</v>
      </c>
      <c r="I348">
        <f>IF(MONTH(calls[[#This Row],[Date of Call]])&lt;=6, YEAR(calls[[#This Row],[Date of Call]]), YEAR(calls[[#This Row],[Date of Call]])+1)</f>
        <v>2025</v>
      </c>
      <c r="J348" t="str">
        <f>TEXT(calls[[#This Row],[Date of Call]],"DDDD")</f>
        <v>Friday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420</v>
      </c>
      <c r="C349" t="s">
        <v>48</v>
      </c>
      <c r="D349">
        <v>159</v>
      </c>
      <c r="E349" s="17" t="s">
        <v>37</v>
      </c>
      <c r="F349" s="18">
        <v>45758</v>
      </c>
      <c r="G349">
        <v>42</v>
      </c>
      <c r="H349">
        <v>4.5</v>
      </c>
      <c r="I349">
        <f>IF(MONTH(calls[[#This Row],[Date of Call]])&lt;=6, YEAR(calls[[#This Row],[Date of Call]]), YEAR(calls[[#This Row],[Date of Call]])+1)</f>
        <v>2025</v>
      </c>
      <c r="J349" t="str">
        <f>TEXT(calls[[#This Row],[Date of Call]],"DDDD")</f>
        <v>Friday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421</v>
      </c>
      <c r="C350" t="s">
        <v>50</v>
      </c>
      <c r="D350">
        <v>25</v>
      </c>
      <c r="E350" s="17" t="s">
        <v>38</v>
      </c>
      <c r="F350" s="18">
        <v>45758</v>
      </c>
      <c r="G350">
        <v>75</v>
      </c>
      <c r="H350">
        <v>3.9</v>
      </c>
      <c r="I350">
        <f>IF(MONTH(calls[[#This Row],[Date of Call]])&lt;=6, YEAR(calls[[#This Row],[Date of Call]]), YEAR(calls[[#This Row],[Date of Call]])+1)</f>
        <v>2025</v>
      </c>
      <c r="J350" t="str">
        <f>TEXT(calls[[#This Row],[Date of Call]],"DDDD")</f>
        <v>Friday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422</v>
      </c>
      <c r="C351" t="s">
        <v>48</v>
      </c>
      <c r="D351">
        <v>53</v>
      </c>
      <c r="E351" s="17" t="s">
        <v>36</v>
      </c>
      <c r="F351" s="18">
        <v>45759</v>
      </c>
      <c r="G351">
        <v>23</v>
      </c>
      <c r="H351">
        <v>4.9000000000000004</v>
      </c>
      <c r="I351">
        <f>IF(MONTH(calls[[#This Row],[Date of Call]])&lt;=6, YEAR(calls[[#This Row],[Date of Call]]), YEAR(calls[[#This Row],[Date of Call]])+1)</f>
        <v>2025</v>
      </c>
      <c r="J351" t="str">
        <f>TEXT(calls[[#This Row],[Date of Call]],"DDDD")</f>
        <v>Saturday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423</v>
      </c>
      <c r="C352" t="s">
        <v>48</v>
      </c>
      <c r="D352">
        <v>89</v>
      </c>
      <c r="E352" s="17" t="s">
        <v>38</v>
      </c>
      <c r="F352" s="18">
        <v>45759</v>
      </c>
      <c r="G352">
        <v>200</v>
      </c>
      <c r="H352">
        <v>4.8</v>
      </c>
      <c r="I352">
        <f>IF(MONTH(calls[[#This Row],[Date of Call]])&lt;=6, YEAR(calls[[#This Row],[Date of Call]]), YEAR(calls[[#This Row],[Date of Call]])+1)</f>
        <v>2025</v>
      </c>
      <c r="J352" t="str">
        <f>TEXT(calls[[#This Row],[Date of Call]],"DDDD")</f>
        <v>Saturday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424</v>
      </c>
      <c r="C353" t="s">
        <v>59</v>
      </c>
      <c r="D353">
        <v>73</v>
      </c>
      <c r="E353" s="17" t="s">
        <v>35</v>
      </c>
      <c r="F353" s="18">
        <v>45760</v>
      </c>
      <c r="G353">
        <v>45</v>
      </c>
      <c r="H353">
        <v>3.6</v>
      </c>
      <c r="I353">
        <f>IF(MONTH(calls[[#This Row],[Date of Call]])&lt;=6, YEAR(calls[[#This Row],[Date of Call]]), YEAR(calls[[#This Row],[Date of Call]])+1)</f>
        <v>2025</v>
      </c>
      <c r="J353" t="str">
        <f>TEXT(calls[[#This Row],[Date of Call]],"DDDD")</f>
        <v>Sunday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425</v>
      </c>
      <c r="C354" t="s">
        <v>54</v>
      </c>
      <c r="D354">
        <v>50</v>
      </c>
      <c r="E354" s="17" t="s">
        <v>35</v>
      </c>
      <c r="F354" s="18">
        <v>45760</v>
      </c>
      <c r="G354">
        <v>105</v>
      </c>
      <c r="H354">
        <v>3.5</v>
      </c>
      <c r="I354">
        <f>IF(MONTH(calls[[#This Row],[Date of Call]])&lt;=6, YEAR(calls[[#This Row],[Date of Call]]), YEAR(calls[[#This Row],[Date of Call]])+1)</f>
        <v>2025</v>
      </c>
      <c r="J354" t="str">
        <f>TEXT(calls[[#This Row],[Date of Call]],"DDDD")</f>
        <v>Sunday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426</v>
      </c>
      <c r="C355" t="s">
        <v>47</v>
      </c>
      <c r="D355">
        <v>98</v>
      </c>
      <c r="E355" s="17" t="s">
        <v>35</v>
      </c>
      <c r="F355" s="18">
        <v>45760</v>
      </c>
      <c r="G355">
        <v>22</v>
      </c>
      <c r="H355">
        <v>3.8</v>
      </c>
      <c r="I355">
        <f>IF(MONTH(calls[[#This Row],[Date of Call]])&lt;=6, YEAR(calls[[#This Row],[Date of Call]]), YEAR(calls[[#This Row],[Date of Call]])+1)</f>
        <v>2025</v>
      </c>
      <c r="J355" t="str">
        <f>TEXT(calls[[#This Row],[Date of Call]],"DDDD")</f>
        <v>Sunday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427</v>
      </c>
      <c r="C356" t="s">
        <v>53</v>
      </c>
      <c r="D356">
        <v>114</v>
      </c>
      <c r="E356" s="17" t="s">
        <v>37</v>
      </c>
      <c r="F356" s="18">
        <v>45761</v>
      </c>
      <c r="G356">
        <v>126</v>
      </c>
      <c r="H356">
        <v>4.4000000000000004</v>
      </c>
      <c r="I356">
        <f>IF(MONTH(calls[[#This Row],[Date of Call]])&lt;=6, YEAR(calls[[#This Row],[Date of Call]]), YEAR(calls[[#This Row],[Date of Call]])+1)</f>
        <v>2025</v>
      </c>
      <c r="J356" t="str">
        <f>TEXT(calls[[#This Row],[Date of Call]],"DDDD")</f>
        <v>Monday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428</v>
      </c>
      <c r="C357" t="s">
        <v>57</v>
      </c>
      <c r="D357">
        <v>67</v>
      </c>
      <c r="E357" s="17" t="s">
        <v>37</v>
      </c>
      <c r="F357" s="18">
        <v>45761</v>
      </c>
      <c r="G357">
        <v>35</v>
      </c>
      <c r="H357">
        <v>3</v>
      </c>
      <c r="I357">
        <f>IF(MONTH(calls[[#This Row],[Date of Call]])&lt;=6, YEAR(calls[[#This Row],[Date of Call]]), YEAR(calls[[#This Row],[Date of Call]])+1)</f>
        <v>2025</v>
      </c>
      <c r="J357" t="str">
        <f>TEXT(calls[[#This Row],[Date of Call]],"DDDD")</f>
        <v>Monday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429</v>
      </c>
      <c r="C358" t="s">
        <v>56</v>
      </c>
      <c r="D358">
        <v>91</v>
      </c>
      <c r="E358" s="17" t="s">
        <v>35</v>
      </c>
      <c r="F358" s="18">
        <v>45761</v>
      </c>
      <c r="G358">
        <v>84</v>
      </c>
      <c r="H358">
        <v>4.5</v>
      </c>
      <c r="I358">
        <f>IF(MONTH(calls[[#This Row],[Date of Call]])&lt;=6, YEAR(calls[[#This Row],[Date of Call]]), YEAR(calls[[#This Row],[Date of Call]])+1)</f>
        <v>2025</v>
      </c>
      <c r="J358" t="str">
        <f>TEXT(calls[[#This Row],[Date of Call]],"DDDD")</f>
        <v>Monday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430</v>
      </c>
      <c r="C359" t="s">
        <v>51</v>
      </c>
      <c r="D359">
        <v>67</v>
      </c>
      <c r="E359" s="17" t="s">
        <v>35</v>
      </c>
      <c r="F359" s="18">
        <v>45762</v>
      </c>
      <c r="G359">
        <v>172</v>
      </c>
      <c r="H359">
        <v>4.5</v>
      </c>
      <c r="I359">
        <f>IF(MONTH(calls[[#This Row],[Date of Call]])&lt;=6, YEAR(calls[[#This Row],[Date of Call]]), YEAR(calls[[#This Row],[Date of Call]])+1)</f>
        <v>2025</v>
      </c>
      <c r="J359" t="str">
        <f>TEXT(calls[[#This Row],[Date of Call]],"DDDD")</f>
        <v>Tuesday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431</v>
      </c>
      <c r="C360" t="s">
        <v>53</v>
      </c>
      <c r="D360">
        <v>139</v>
      </c>
      <c r="E360" s="17" t="s">
        <v>38</v>
      </c>
      <c r="F360" s="18">
        <v>45762</v>
      </c>
      <c r="G360">
        <v>114</v>
      </c>
      <c r="H360">
        <v>4</v>
      </c>
      <c r="I360">
        <f>IF(MONTH(calls[[#This Row],[Date of Call]])&lt;=6, YEAR(calls[[#This Row],[Date of Call]]), YEAR(calls[[#This Row],[Date of Call]])+1)</f>
        <v>2025</v>
      </c>
      <c r="J360" t="str">
        <f>TEXT(calls[[#This Row],[Date of Call]],"DDDD")</f>
        <v>Tuesday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432</v>
      </c>
      <c r="C361" t="s">
        <v>51</v>
      </c>
      <c r="D361">
        <v>102</v>
      </c>
      <c r="E361" s="17" t="s">
        <v>38</v>
      </c>
      <c r="F361" s="18">
        <v>45762</v>
      </c>
      <c r="G361">
        <v>60</v>
      </c>
      <c r="H361">
        <v>3.8</v>
      </c>
      <c r="I361">
        <f>IF(MONTH(calls[[#This Row],[Date of Call]])&lt;=6, YEAR(calls[[#This Row],[Date of Call]]), YEAR(calls[[#This Row],[Date of Call]])+1)</f>
        <v>2025</v>
      </c>
      <c r="J361" t="str">
        <f>TEXT(calls[[#This Row],[Date of Call]],"DDDD")</f>
        <v>Tuesday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433</v>
      </c>
      <c r="C362" t="s">
        <v>55</v>
      </c>
      <c r="D362">
        <v>108</v>
      </c>
      <c r="E362" s="17" t="s">
        <v>34</v>
      </c>
      <c r="F362" s="18">
        <v>45762</v>
      </c>
      <c r="G362">
        <v>26</v>
      </c>
      <c r="H362">
        <v>3.3</v>
      </c>
      <c r="I362">
        <f>IF(MONTH(calls[[#This Row],[Date of Call]])&lt;=6, YEAR(calls[[#This Row],[Date of Call]]), YEAR(calls[[#This Row],[Date of Call]])+1)</f>
        <v>2025</v>
      </c>
      <c r="J362" t="str">
        <f>TEXT(calls[[#This Row],[Date of Call]],"DDDD")</f>
        <v>Tuesday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434</v>
      </c>
      <c r="C363" t="s">
        <v>50</v>
      </c>
      <c r="D363">
        <v>66</v>
      </c>
      <c r="E363" s="17" t="s">
        <v>35</v>
      </c>
      <c r="F363" s="18">
        <v>45762</v>
      </c>
      <c r="G363">
        <v>210</v>
      </c>
      <c r="H363">
        <v>4.3</v>
      </c>
      <c r="I363">
        <f>IF(MONTH(calls[[#This Row],[Date of Call]])&lt;=6, YEAR(calls[[#This Row],[Date of Call]]), YEAR(calls[[#This Row],[Date of Call]])+1)</f>
        <v>2025</v>
      </c>
      <c r="J363" t="str">
        <f>TEXT(calls[[#This Row],[Date of Call]],"DDDD")</f>
        <v>Tuesday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435</v>
      </c>
      <c r="C364" t="s">
        <v>58</v>
      </c>
      <c r="D364">
        <v>85</v>
      </c>
      <c r="E364" s="17" t="s">
        <v>38</v>
      </c>
      <c r="F364" s="18">
        <v>45762</v>
      </c>
      <c r="G364">
        <v>129</v>
      </c>
      <c r="H364">
        <v>4.2</v>
      </c>
      <c r="I364">
        <f>IF(MONTH(calls[[#This Row],[Date of Call]])&lt;=6, YEAR(calls[[#This Row],[Date of Call]]), YEAR(calls[[#This Row],[Date of Call]])+1)</f>
        <v>2025</v>
      </c>
      <c r="J364" t="str">
        <f>TEXT(calls[[#This Row],[Date of Call]],"DDDD")</f>
        <v>Tuesday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436</v>
      </c>
      <c r="C365" t="s">
        <v>57</v>
      </c>
      <c r="D365">
        <v>55</v>
      </c>
      <c r="E365" s="17" t="s">
        <v>34</v>
      </c>
      <c r="F365" s="18">
        <v>45762</v>
      </c>
      <c r="G365">
        <v>215</v>
      </c>
      <c r="H365">
        <v>4.3</v>
      </c>
      <c r="I365">
        <f>IF(MONTH(calls[[#This Row],[Date of Call]])&lt;=6, YEAR(calls[[#This Row],[Date of Call]]), YEAR(calls[[#This Row],[Date of Call]])+1)</f>
        <v>2025</v>
      </c>
      <c r="J365" t="str">
        <f>TEXT(calls[[#This Row],[Date of Call]],"DDDD")</f>
        <v>Tuesday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437</v>
      </c>
      <c r="C366" t="s">
        <v>55</v>
      </c>
      <c r="D366">
        <v>17</v>
      </c>
      <c r="E366" s="17" t="s">
        <v>36</v>
      </c>
      <c r="F366" s="18">
        <v>45762</v>
      </c>
      <c r="G366">
        <v>69</v>
      </c>
      <c r="H366">
        <v>4.5999999999999996</v>
      </c>
      <c r="I366">
        <f>IF(MONTH(calls[[#This Row],[Date of Call]])&lt;=6, YEAR(calls[[#This Row],[Date of Call]]), YEAR(calls[[#This Row],[Date of Call]])+1)</f>
        <v>2025</v>
      </c>
      <c r="J366" t="str">
        <f>TEXT(calls[[#This Row],[Date of Call]],"DDDD")</f>
        <v>Tuesday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438</v>
      </c>
      <c r="C367" t="s">
        <v>57</v>
      </c>
      <c r="D367">
        <v>128</v>
      </c>
      <c r="E367" s="17" t="s">
        <v>36</v>
      </c>
      <c r="F367" s="18">
        <v>45762</v>
      </c>
      <c r="G367">
        <v>140</v>
      </c>
      <c r="H367">
        <v>3</v>
      </c>
      <c r="I367">
        <f>IF(MONTH(calls[[#This Row],[Date of Call]])&lt;=6, YEAR(calls[[#This Row],[Date of Call]]), YEAR(calls[[#This Row],[Date of Call]])+1)</f>
        <v>2025</v>
      </c>
      <c r="J367" t="str">
        <f>TEXT(calls[[#This Row],[Date of Call]],"DDDD")</f>
        <v>Tuesday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439</v>
      </c>
      <c r="C368" t="s">
        <v>54</v>
      </c>
      <c r="D368">
        <v>45</v>
      </c>
      <c r="E368" s="17" t="s">
        <v>34</v>
      </c>
      <c r="F368" s="18">
        <v>45763</v>
      </c>
      <c r="G368">
        <v>156</v>
      </c>
      <c r="H368">
        <v>2.7</v>
      </c>
      <c r="I368">
        <f>IF(MONTH(calls[[#This Row],[Date of Call]])&lt;=6, YEAR(calls[[#This Row],[Date of Call]]), YEAR(calls[[#This Row],[Date of Call]])+1)</f>
        <v>2025</v>
      </c>
      <c r="J368" t="str">
        <f>TEXT(calls[[#This Row],[Date of Call]],"DDDD")</f>
        <v>Wednesday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440</v>
      </c>
      <c r="C369" t="s">
        <v>55</v>
      </c>
      <c r="D369">
        <v>41</v>
      </c>
      <c r="E369" s="17" t="s">
        <v>36</v>
      </c>
      <c r="F369" s="18">
        <v>45763</v>
      </c>
      <c r="G369">
        <v>164</v>
      </c>
      <c r="H369">
        <v>3.1</v>
      </c>
      <c r="I369">
        <f>IF(MONTH(calls[[#This Row],[Date of Call]])&lt;=6, YEAR(calls[[#This Row],[Date of Call]]), YEAR(calls[[#This Row],[Date of Call]])+1)</f>
        <v>2025</v>
      </c>
      <c r="J369" t="str">
        <f>TEXT(calls[[#This Row],[Date of Call]],"DDDD")</f>
        <v>Wednesday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441</v>
      </c>
      <c r="C370" t="s">
        <v>49</v>
      </c>
      <c r="D370">
        <v>49</v>
      </c>
      <c r="E370" s="17" t="s">
        <v>36</v>
      </c>
      <c r="F370" s="18">
        <v>45763</v>
      </c>
      <c r="G370">
        <v>195</v>
      </c>
      <c r="H370">
        <v>2.6</v>
      </c>
      <c r="I370">
        <f>IF(MONTH(calls[[#This Row],[Date of Call]])&lt;=6, YEAR(calls[[#This Row],[Date of Call]]), YEAR(calls[[#This Row],[Date of Call]])+1)</f>
        <v>2025</v>
      </c>
      <c r="J370" t="str">
        <f>TEXT(calls[[#This Row],[Date of Call]],"DDDD")</f>
        <v>Wednesday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442</v>
      </c>
      <c r="C371" t="s">
        <v>46</v>
      </c>
      <c r="D371">
        <v>21</v>
      </c>
      <c r="E371" s="17" t="s">
        <v>37</v>
      </c>
      <c r="F371" s="18">
        <v>45763</v>
      </c>
      <c r="G371">
        <v>74</v>
      </c>
      <c r="H371">
        <v>4.5999999999999996</v>
      </c>
      <c r="I371">
        <f>IF(MONTH(calls[[#This Row],[Date of Call]])&lt;=6, YEAR(calls[[#This Row],[Date of Call]]), YEAR(calls[[#This Row],[Date of Call]])+1)</f>
        <v>2025</v>
      </c>
      <c r="J371" t="str">
        <f>TEXT(calls[[#This Row],[Date of Call]],"DDDD")</f>
        <v>Wednesday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443</v>
      </c>
      <c r="C372" t="s">
        <v>48</v>
      </c>
      <c r="D372">
        <v>133</v>
      </c>
      <c r="E372" s="17" t="s">
        <v>34</v>
      </c>
      <c r="F372" s="18">
        <v>45763</v>
      </c>
      <c r="G372">
        <v>100</v>
      </c>
      <c r="H372">
        <v>4</v>
      </c>
      <c r="I372">
        <f>IF(MONTH(calls[[#This Row],[Date of Call]])&lt;=6, YEAR(calls[[#This Row],[Date of Call]]), YEAR(calls[[#This Row],[Date of Call]])+1)</f>
        <v>2025</v>
      </c>
      <c r="J372" t="str">
        <f>TEXT(calls[[#This Row],[Date of Call]],"DDDD")</f>
        <v>Wednesday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444</v>
      </c>
      <c r="C373" t="s">
        <v>45</v>
      </c>
      <c r="D373">
        <v>135</v>
      </c>
      <c r="E373" s="17" t="s">
        <v>35</v>
      </c>
      <c r="F373" s="18">
        <v>45763</v>
      </c>
      <c r="G373">
        <v>185</v>
      </c>
      <c r="H373">
        <v>4.5</v>
      </c>
      <c r="I373">
        <f>IF(MONTH(calls[[#This Row],[Date of Call]])&lt;=6, YEAR(calls[[#This Row],[Date of Call]]), YEAR(calls[[#This Row],[Date of Call]])+1)</f>
        <v>2025</v>
      </c>
      <c r="J373" t="str">
        <f>TEXT(calls[[#This Row],[Date of Call]],"DDDD")</f>
        <v>Wednesday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445</v>
      </c>
      <c r="C374" t="s">
        <v>53</v>
      </c>
      <c r="D374">
        <v>69</v>
      </c>
      <c r="E374" s="17" t="s">
        <v>34</v>
      </c>
      <c r="F374" s="18">
        <v>45763</v>
      </c>
      <c r="G374">
        <v>130</v>
      </c>
      <c r="H374">
        <v>1.9</v>
      </c>
      <c r="I374">
        <f>IF(MONTH(calls[[#This Row],[Date of Call]])&lt;=6, YEAR(calls[[#This Row],[Date of Call]]), YEAR(calls[[#This Row],[Date of Call]])+1)</f>
        <v>2025</v>
      </c>
      <c r="J374" t="str">
        <f>TEXT(calls[[#This Row],[Date of Call]],"DDDD")</f>
        <v>Wednesday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446</v>
      </c>
      <c r="C375" t="s">
        <v>52</v>
      </c>
      <c r="D375">
        <v>110</v>
      </c>
      <c r="E375" s="17" t="s">
        <v>37</v>
      </c>
      <c r="F375" s="18">
        <v>45764</v>
      </c>
      <c r="G375">
        <v>21</v>
      </c>
      <c r="H375">
        <v>2.6</v>
      </c>
      <c r="I375">
        <f>IF(MONTH(calls[[#This Row],[Date of Call]])&lt;=6, YEAR(calls[[#This Row],[Date of Call]]), YEAR(calls[[#This Row],[Date of Call]])+1)</f>
        <v>2025</v>
      </c>
      <c r="J375" t="str">
        <f>TEXT(calls[[#This Row],[Date of Call]],"DDDD")</f>
        <v>Thursday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447</v>
      </c>
      <c r="C376" t="s">
        <v>51</v>
      </c>
      <c r="D376">
        <v>64</v>
      </c>
      <c r="E376" s="17" t="s">
        <v>38</v>
      </c>
      <c r="F376" s="18">
        <v>45764</v>
      </c>
      <c r="G376">
        <v>88</v>
      </c>
      <c r="H376">
        <v>4.3</v>
      </c>
      <c r="I376">
        <f>IF(MONTH(calls[[#This Row],[Date of Call]])&lt;=6, YEAR(calls[[#This Row],[Date of Call]]), YEAR(calls[[#This Row],[Date of Call]])+1)</f>
        <v>2025</v>
      </c>
      <c r="J376" t="str">
        <f>TEXT(calls[[#This Row],[Date of Call]],"DDDD")</f>
        <v>Thursday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448</v>
      </c>
      <c r="C377" t="s">
        <v>56</v>
      </c>
      <c r="D377">
        <v>105</v>
      </c>
      <c r="E377" s="17" t="s">
        <v>36</v>
      </c>
      <c r="F377" s="18">
        <v>45764</v>
      </c>
      <c r="G377">
        <v>35</v>
      </c>
      <c r="H377">
        <v>4.4000000000000004</v>
      </c>
      <c r="I377">
        <f>IF(MONTH(calls[[#This Row],[Date of Call]])&lt;=6, YEAR(calls[[#This Row],[Date of Call]]), YEAR(calls[[#This Row],[Date of Call]])+1)</f>
        <v>2025</v>
      </c>
      <c r="J377" t="str">
        <f>TEXT(calls[[#This Row],[Date of Call]],"DDDD")</f>
        <v>Thursday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449</v>
      </c>
      <c r="C378" t="s">
        <v>51</v>
      </c>
      <c r="D378">
        <v>165</v>
      </c>
      <c r="E378" s="17" t="s">
        <v>35</v>
      </c>
      <c r="F378" s="18">
        <v>45764</v>
      </c>
      <c r="G378">
        <v>68</v>
      </c>
      <c r="H378">
        <v>4.3</v>
      </c>
      <c r="I378">
        <f>IF(MONTH(calls[[#This Row],[Date of Call]])&lt;=6, YEAR(calls[[#This Row],[Date of Call]]), YEAR(calls[[#This Row],[Date of Call]])+1)</f>
        <v>2025</v>
      </c>
      <c r="J378" t="str">
        <f>TEXT(calls[[#This Row],[Date of Call]],"DDDD")</f>
        <v>Thursday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450</v>
      </c>
      <c r="C379" t="s">
        <v>54</v>
      </c>
      <c r="D379">
        <v>125</v>
      </c>
      <c r="E379" s="17" t="s">
        <v>35</v>
      </c>
      <c r="F379" s="18">
        <v>45764</v>
      </c>
      <c r="G379">
        <v>148</v>
      </c>
      <c r="H379">
        <v>4.5</v>
      </c>
      <c r="I379">
        <f>IF(MONTH(calls[[#This Row],[Date of Call]])&lt;=6, YEAR(calls[[#This Row],[Date of Call]]), YEAR(calls[[#This Row],[Date of Call]])+1)</f>
        <v>2025</v>
      </c>
      <c r="J379" t="str">
        <f>TEXT(calls[[#This Row],[Date of Call]],"DDDD")</f>
        <v>Thursday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451</v>
      </c>
      <c r="C380" t="s">
        <v>56</v>
      </c>
      <c r="D380">
        <v>88</v>
      </c>
      <c r="E380" s="17" t="s">
        <v>38</v>
      </c>
      <c r="F380" s="18">
        <v>45765</v>
      </c>
      <c r="G380">
        <v>81</v>
      </c>
      <c r="H380">
        <v>4.2</v>
      </c>
      <c r="I380">
        <f>IF(MONTH(calls[[#This Row],[Date of Call]])&lt;=6, YEAR(calls[[#This Row],[Date of Call]]), YEAR(calls[[#This Row],[Date of Call]])+1)</f>
        <v>2025</v>
      </c>
      <c r="J380" t="str">
        <f>TEXT(calls[[#This Row],[Date of Call]],"DDDD")</f>
        <v>Friday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452</v>
      </c>
      <c r="C381" t="s">
        <v>53</v>
      </c>
      <c r="D381">
        <v>6</v>
      </c>
      <c r="E381" s="17" t="s">
        <v>38</v>
      </c>
      <c r="F381" s="18">
        <v>45765</v>
      </c>
      <c r="G381">
        <v>75</v>
      </c>
      <c r="H381">
        <v>3.9</v>
      </c>
      <c r="I381">
        <f>IF(MONTH(calls[[#This Row],[Date of Call]])&lt;=6, YEAR(calls[[#This Row],[Date of Call]]), YEAR(calls[[#This Row],[Date of Call]])+1)</f>
        <v>2025</v>
      </c>
      <c r="J381" t="str">
        <f>TEXT(calls[[#This Row],[Date of Call]],"DDDD")</f>
        <v>Friday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453</v>
      </c>
      <c r="C382" t="s">
        <v>58</v>
      </c>
      <c r="D382">
        <v>69</v>
      </c>
      <c r="E382" s="17" t="s">
        <v>34</v>
      </c>
      <c r="F382" s="18">
        <v>45766</v>
      </c>
      <c r="G382">
        <v>32</v>
      </c>
      <c r="H382">
        <v>3.6</v>
      </c>
      <c r="I382">
        <f>IF(MONTH(calls[[#This Row],[Date of Call]])&lt;=6, YEAR(calls[[#This Row],[Date of Call]]), YEAR(calls[[#This Row],[Date of Call]])+1)</f>
        <v>2025</v>
      </c>
      <c r="J382" t="str">
        <f>TEXT(calls[[#This Row],[Date of Call]],"DDDD")</f>
        <v>Saturday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454</v>
      </c>
      <c r="C383" t="s">
        <v>55</v>
      </c>
      <c r="D383">
        <v>107</v>
      </c>
      <c r="E383" s="17" t="s">
        <v>34</v>
      </c>
      <c r="F383" s="18">
        <v>45766</v>
      </c>
      <c r="G383">
        <v>156</v>
      </c>
      <c r="H383">
        <v>3.8</v>
      </c>
      <c r="I383">
        <f>IF(MONTH(calls[[#This Row],[Date of Call]])&lt;=6, YEAR(calls[[#This Row],[Date of Call]]), YEAR(calls[[#This Row],[Date of Call]])+1)</f>
        <v>2025</v>
      </c>
      <c r="J383" t="str">
        <f>TEXT(calls[[#This Row],[Date of Call]],"DDDD")</f>
        <v>Saturday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455</v>
      </c>
      <c r="C384" t="s">
        <v>46</v>
      </c>
      <c r="D384">
        <v>90</v>
      </c>
      <c r="E384" s="17" t="s">
        <v>35</v>
      </c>
      <c r="F384" s="18">
        <v>45766</v>
      </c>
      <c r="G384">
        <v>99</v>
      </c>
      <c r="H384">
        <v>4.9000000000000004</v>
      </c>
      <c r="I384">
        <f>IF(MONTH(calls[[#This Row],[Date of Call]])&lt;=6, YEAR(calls[[#This Row],[Date of Call]]), YEAR(calls[[#This Row],[Date of Call]])+1)</f>
        <v>2025</v>
      </c>
      <c r="J384" t="str">
        <f>TEXT(calls[[#This Row],[Date of Call]],"DDDD")</f>
        <v>Saturday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456</v>
      </c>
      <c r="C385" t="s">
        <v>45</v>
      </c>
      <c r="D385">
        <v>120</v>
      </c>
      <c r="E385" s="17" t="s">
        <v>36</v>
      </c>
      <c r="F385" s="18">
        <v>45766</v>
      </c>
      <c r="G385">
        <v>26</v>
      </c>
      <c r="H385">
        <v>4</v>
      </c>
      <c r="I385">
        <f>IF(MONTH(calls[[#This Row],[Date of Call]])&lt;=6, YEAR(calls[[#This Row],[Date of Call]]), YEAR(calls[[#This Row],[Date of Call]])+1)</f>
        <v>2025</v>
      </c>
      <c r="J385" t="str">
        <f>TEXT(calls[[#This Row],[Date of Call]],"DDDD")</f>
        <v>Saturday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457</v>
      </c>
      <c r="C386" t="s">
        <v>47</v>
      </c>
      <c r="D386">
        <v>47</v>
      </c>
      <c r="E386" s="17" t="s">
        <v>34</v>
      </c>
      <c r="F386" s="18">
        <v>45766</v>
      </c>
      <c r="G386">
        <v>84</v>
      </c>
      <c r="H386">
        <v>4.0999999999999996</v>
      </c>
      <c r="I386">
        <f>IF(MONTH(calls[[#This Row],[Date of Call]])&lt;=6, YEAR(calls[[#This Row],[Date of Call]]), YEAR(calls[[#This Row],[Date of Call]])+1)</f>
        <v>2025</v>
      </c>
      <c r="J386" t="str">
        <f>TEXT(calls[[#This Row],[Date of Call]],"DDDD")</f>
        <v>Saturday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458</v>
      </c>
      <c r="C387" t="s">
        <v>59</v>
      </c>
      <c r="D387">
        <v>60</v>
      </c>
      <c r="E387" s="17" t="s">
        <v>36</v>
      </c>
      <c r="F387" s="18">
        <v>45766</v>
      </c>
      <c r="G387">
        <v>84</v>
      </c>
      <c r="H387">
        <v>4.8</v>
      </c>
      <c r="I387">
        <f>IF(MONTH(calls[[#This Row],[Date of Call]])&lt;=6, YEAR(calls[[#This Row],[Date of Call]]), YEAR(calls[[#This Row],[Date of Call]])+1)</f>
        <v>2025</v>
      </c>
      <c r="J387" t="str">
        <f>TEXT(calls[[#This Row],[Date of Call]],"DDDD")</f>
        <v>Saturday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459</v>
      </c>
      <c r="C388" t="s">
        <v>57</v>
      </c>
      <c r="D388">
        <v>64</v>
      </c>
      <c r="E388" s="17" t="s">
        <v>35</v>
      </c>
      <c r="F388" s="18">
        <v>45766</v>
      </c>
      <c r="G388">
        <v>170</v>
      </c>
      <c r="H388">
        <v>2.2999999999999998</v>
      </c>
      <c r="I388">
        <f>IF(MONTH(calls[[#This Row],[Date of Call]])&lt;=6, YEAR(calls[[#This Row],[Date of Call]]), YEAR(calls[[#This Row],[Date of Call]])+1)</f>
        <v>2025</v>
      </c>
      <c r="J388" t="str">
        <f>TEXT(calls[[#This Row],[Date of Call]],"DDDD")</f>
        <v>Saturday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460</v>
      </c>
      <c r="C389" t="s">
        <v>51</v>
      </c>
      <c r="D389">
        <v>62</v>
      </c>
      <c r="E389" s="17" t="s">
        <v>34</v>
      </c>
      <c r="F389" s="18">
        <v>45766</v>
      </c>
      <c r="G389">
        <v>35</v>
      </c>
      <c r="H389">
        <v>4.4000000000000004</v>
      </c>
      <c r="I389">
        <f>IF(MONTH(calls[[#This Row],[Date of Call]])&lt;=6, YEAR(calls[[#This Row],[Date of Call]]), YEAR(calls[[#This Row],[Date of Call]])+1)</f>
        <v>2025</v>
      </c>
      <c r="J389" t="str">
        <f>TEXT(calls[[#This Row],[Date of Call]],"DDDD")</f>
        <v>Saturday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461</v>
      </c>
      <c r="C390" t="s">
        <v>52</v>
      </c>
      <c r="D390">
        <v>88</v>
      </c>
      <c r="E390" s="17" t="s">
        <v>34</v>
      </c>
      <c r="F390" s="18">
        <v>45767</v>
      </c>
      <c r="G390">
        <v>35</v>
      </c>
      <c r="H390">
        <v>3.8</v>
      </c>
      <c r="I390">
        <f>IF(MONTH(calls[[#This Row],[Date of Call]])&lt;=6, YEAR(calls[[#This Row],[Date of Call]]), YEAR(calls[[#This Row],[Date of Call]])+1)</f>
        <v>2025</v>
      </c>
      <c r="J390" t="str">
        <f>TEXT(calls[[#This Row],[Date of Call]],"DDDD")</f>
        <v>Sunday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462</v>
      </c>
      <c r="C391" t="s">
        <v>54</v>
      </c>
      <c r="D391">
        <v>116</v>
      </c>
      <c r="E391" s="17" t="s">
        <v>34</v>
      </c>
      <c r="F391" s="18">
        <v>45767</v>
      </c>
      <c r="G391">
        <v>132</v>
      </c>
      <c r="H391">
        <v>5</v>
      </c>
      <c r="I391">
        <f>IF(MONTH(calls[[#This Row],[Date of Call]])&lt;=6, YEAR(calls[[#This Row],[Date of Call]]), YEAR(calls[[#This Row],[Date of Call]])+1)</f>
        <v>2025</v>
      </c>
      <c r="J391" t="str">
        <f>TEXT(calls[[#This Row],[Date of Call]],"DDDD")</f>
        <v>Sunday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463</v>
      </c>
      <c r="C392" t="s">
        <v>46</v>
      </c>
      <c r="D392">
        <v>82</v>
      </c>
      <c r="E392" s="17" t="s">
        <v>38</v>
      </c>
      <c r="F392" s="18">
        <v>45768</v>
      </c>
      <c r="G392">
        <v>144</v>
      </c>
      <c r="H392">
        <v>3.3</v>
      </c>
      <c r="I392">
        <f>IF(MONTH(calls[[#This Row],[Date of Call]])&lt;=6, YEAR(calls[[#This Row],[Date of Call]]), YEAR(calls[[#This Row],[Date of Call]])+1)</f>
        <v>2025</v>
      </c>
      <c r="J392" t="str">
        <f>TEXT(calls[[#This Row],[Date of Call]],"DDDD")</f>
        <v>Monday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464</v>
      </c>
      <c r="C393" t="s">
        <v>51</v>
      </c>
      <c r="D393">
        <v>99</v>
      </c>
      <c r="E393" s="17" t="s">
        <v>35</v>
      </c>
      <c r="F393" s="18">
        <v>45768</v>
      </c>
      <c r="G393">
        <v>48</v>
      </c>
      <c r="H393">
        <v>5</v>
      </c>
      <c r="I393">
        <f>IF(MONTH(calls[[#This Row],[Date of Call]])&lt;=6, YEAR(calls[[#This Row],[Date of Call]]), YEAR(calls[[#This Row],[Date of Call]])+1)</f>
        <v>2025</v>
      </c>
      <c r="J393" t="str">
        <f>TEXT(calls[[#This Row],[Date of Call]],"DDDD")</f>
        <v>Monday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465</v>
      </c>
      <c r="C394" t="s">
        <v>51</v>
      </c>
      <c r="D394">
        <v>55</v>
      </c>
      <c r="E394" s="17" t="s">
        <v>38</v>
      </c>
      <c r="F394" s="18">
        <v>45768</v>
      </c>
      <c r="G394">
        <v>200</v>
      </c>
      <c r="H394">
        <v>2.2999999999999998</v>
      </c>
      <c r="I394">
        <f>IF(MONTH(calls[[#This Row],[Date of Call]])&lt;=6, YEAR(calls[[#This Row],[Date of Call]]), YEAR(calls[[#This Row],[Date of Call]])+1)</f>
        <v>2025</v>
      </c>
      <c r="J394" t="str">
        <f>TEXT(calls[[#This Row],[Date of Call]],"DDDD")</f>
        <v>Monday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466</v>
      </c>
      <c r="C395" t="s">
        <v>57</v>
      </c>
      <c r="D395">
        <v>61</v>
      </c>
      <c r="E395" s="17" t="s">
        <v>36</v>
      </c>
      <c r="F395" s="18">
        <v>45768</v>
      </c>
      <c r="G395">
        <v>38</v>
      </c>
      <c r="H395">
        <v>4.8</v>
      </c>
      <c r="I395">
        <f>IF(MONTH(calls[[#This Row],[Date of Call]])&lt;=6, YEAR(calls[[#This Row],[Date of Call]]), YEAR(calls[[#This Row],[Date of Call]])+1)</f>
        <v>2025</v>
      </c>
      <c r="J395" t="str">
        <f>TEXT(calls[[#This Row],[Date of Call]],"DDDD")</f>
        <v>Monday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467</v>
      </c>
      <c r="C396" t="s">
        <v>54</v>
      </c>
      <c r="D396">
        <v>36</v>
      </c>
      <c r="E396" s="17" t="s">
        <v>37</v>
      </c>
      <c r="F396" s="18">
        <v>45768</v>
      </c>
      <c r="G396">
        <v>81</v>
      </c>
      <c r="H396">
        <v>3.7</v>
      </c>
      <c r="I396">
        <f>IF(MONTH(calls[[#This Row],[Date of Call]])&lt;=6, YEAR(calls[[#This Row],[Date of Call]]), YEAR(calls[[#This Row],[Date of Call]])+1)</f>
        <v>2025</v>
      </c>
      <c r="J396" t="str">
        <f>TEXT(calls[[#This Row],[Date of Call]],"DDDD")</f>
        <v>Monday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468</v>
      </c>
      <c r="C397" t="s">
        <v>46</v>
      </c>
      <c r="D397">
        <v>123</v>
      </c>
      <c r="E397" s="17" t="s">
        <v>34</v>
      </c>
      <c r="F397" s="18">
        <v>45768</v>
      </c>
      <c r="G397">
        <v>120</v>
      </c>
      <c r="H397">
        <v>4.2</v>
      </c>
      <c r="I397">
        <f>IF(MONTH(calls[[#This Row],[Date of Call]])&lt;=6, YEAR(calls[[#This Row],[Date of Call]]), YEAR(calls[[#This Row],[Date of Call]])+1)</f>
        <v>2025</v>
      </c>
      <c r="J397" t="str">
        <f>TEXT(calls[[#This Row],[Date of Call]],"DDDD")</f>
        <v>Monday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469</v>
      </c>
      <c r="C398" t="s">
        <v>49</v>
      </c>
      <c r="D398">
        <v>24</v>
      </c>
      <c r="E398" s="17" t="s">
        <v>36</v>
      </c>
      <c r="F398" s="18">
        <v>45768</v>
      </c>
      <c r="G398">
        <v>74</v>
      </c>
      <c r="H398">
        <v>4.8</v>
      </c>
      <c r="I398">
        <f>IF(MONTH(calls[[#This Row],[Date of Call]])&lt;=6, YEAR(calls[[#This Row],[Date of Call]]), YEAR(calls[[#This Row],[Date of Call]])+1)</f>
        <v>2025</v>
      </c>
      <c r="J398" t="str">
        <f>TEXT(calls[[#This Row],[Date of Call]],"DDDD")</f>
        <v>Monday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470</v>
      </c>
      <c r="C399" t="s">
        <v>46</v>
      </c>
      <c r="D399">
        <v>43</v>
      </c>
      <c r="E399" s="17" t="s">
        <v>34</v>
      </c>
      <c r="F399" s="18">
        <v>45769</v>
      </c>
      <c r="G399">
        <v>128</v>
      </c>
      <c r="H399">
        <v>4.7</v>
      </c>
      <c r="I399">
        <f>IF(MONTH(calls[[#This Row],[Date of Call]])&lt;=6, YEAR(calls[[#This Row],[Date of Call]]), YEAR(calls[[#This Row],[Date of Call]])+1)</f>
        <v>2025</v>
      </c>
      <c r="J399" t="str">
        <f>TEXT(calls[[#This Row],[Date of Call]],"DDDD")</f>
        <v>Tuesday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471</v>
      </c>
      <c r="C400" t="s">
        <v>59</v>
      </c>
      <c r="D400">
        <v>95</v>
      </c>
      <c r="E400" s="17" t="s">
        <v>35</v>
      </c>
      <c r="F400" s="18">
        <v>45769</v>
      </c>
      <c r="G400">
        <v>21</v>
      </c>
      <c r="H400">
        <v>3.9</v>
      </c>
      <c r="I400">
        <f>IF(MONTH(calls[[#This Row],[Date of Call]])&lt;=6, YEAR(calls[[#This Row],[Date of Call]]), YEAR(calls[[#This Row],[Date of Call]])+1)</f>
        <v>2025</v>
      </c>
      <c r="J400" t="str">
        <f>TEXT(calls[[#This Row],[Date of Call]],"DDDD")</f>
        <v>Tuesday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472</v>
      </c>
      <c r="C401" t="s">
        <v>51</v>
      </c>
      <c r="D401">
        <v>53</v>
      </c>
      <c r="E401" s="17" t="s">
        <v>34</v>
      </c>
      <c r="F401" s="18">
        <v>45769</v>
      </c>
      <c r="G401">
        <v>110</v>
      </c>
      <c r="H401">
        <v>4.3</v>
      </c>
      <c r="I401">
        <f>IF(MONTH(calls[[#This Row],[Date of Call]])&lt;=6, YEAR(calls[[#This Row],[Date of Call]]), YEAR(calls[[#This Row],[Date of Call]])+1)</f>
        <v>2025</v>
      </c>
      <c r="J401" t="str">
        <f>TEXT(calls[[#This Row],[Date of Call]],"DDDD")</f>
        <v>Tuesday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473</v>
      </c>
      <c r="C402" t="s">
        <v>46</v>
      </c>
      <c r="D402">
        <v>113</v>
      </c>
      <c r="E402" s="17" t="s">
        <v>34</v>
      </c>
      <c r="F402" s="18">
        <v>45769</v>
      </c>
      <c r="G402">
        <v>145</v>
      </c>
      <c r="H402">
        <v>4</v>
      </c>
      <c r="I402">
        <f>IF(MONTH(calls[[#This Row],[Date of Call]])&lt;=6, YEAR(calls[[#This Row],[Date of Call]]), YEAR(calls[[#This Row],[Date of Call]])+1)</f>
        <v>2025</v>
      </c>
      <c r="J402" t="str">
        <f>TEXT(calls[[#This Row],[Date of Call]],"DDDD")</f>
        <v>Tuesday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474</v>
      </c>
      <c r="C403" t="s">
        <v>51</v>
      </c>
      <c r="D403">
        <v>89</v>
      </c>
      <c r="E403" s="17" t="s">
        <v>37</v>
      </c>
      <c r="F403" s="18">
        <v>45769</v>
      </c>
      <c r="G403">
        <v>129</v>
      </c>
      <c r="H403">
        <v>4</v>
      </c>
      <c r="I403">
        <f>IF(MONTH(calls[[#This Row],[Date of Call]])&lt;=6, YEAR(calls[[#This Row],[Date of Call]]), YEAR(calls[[#This Row],[Date of Call]])+1)</f>
        <v>2025</v>
      </c>
      <c r="J403" t="str">
        <f>TEXT(calls[[#This Row],[Date of Call]],"DDDD")</f>
        <v>Tuesday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475</v>
      </c>
      <c r="C404" t="s">
        <v>52</v>
      </c>
      <c r="D404">
        <v>84</v>
      </c>
      <c r="E404" s="17" t="s">
        <v>38</v>
      </c>
      <c r="F404" s="18">
        <v>45769</v>
      </c>
      <c r="G404">
        <v>156</v>
      </c>
      <c r="H404">
        <v>3.2</v>
      </c>
      <c r="I404">
        <f>IF(MONTH(calls[[#This Row],[Date of Call]])&lt;=6, YEAR(calls[[#This Row],[Date of Call]]), YEAR(calls[[#This Row],[Date of Call]])+1)</f>
        <v>2025</v>
      </c>
      <c r="J404" t="str">
        <f>TEXT(calls[[#This Row],[Date of Call]],"DDDD")</f>
        <v>Tuesday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476</v>
      </c>
      <c r="C405" t="s">
        <v>49</v>
      </c>
      <c r="D405">
        <v>130</v>
      </c>
      <c r="E405" s="17" t="s">
        <v>34</v>
      </c>
      <c r="F405" s="18">
        <v>45770</v>
      </c>
      <c r="G405">
        <v>120</v>
      </c>
      <c r="H405">
        <v>3.8</v>
      </c>
      <c r="I405">
        <f>IF(MONTH(calls[[#This Row],[Date of Call]])&lt;=6, YEAR(calls[[#This Row],[Date of Call]]), YEAR(calls[[#This Row],[Date of Call]])+1)</f>
        <v>2025</v>
      </c>
      <c r="J405" t="str">
        <f>TEXT(calls[[#This Row],[Date of Call]],"DDDD")</f>
        <v>Wednesday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477</v>
      </c>
      <c r="C406" t="s">
        <v>59</v>
      </c>
      <c r="D406">
        <v>163</v>
      </c>
      <c r="E406" s="17" t="s">
        <v>37</v>
      </c>
      <c r="F406" s="18">
        <v>45770</v>
      </c>
      <c r="G406">
        <v>62</v>
      </c>
      <c r="H406">
        <v>3.4</v>
      </c>
      <c r="I406">
        <f>IF(MONTH(calls[[#This Row],[Date of Call]])&lt;=6, YEAR(calls[[#This Row],[Date of Call]]), YEAR(calls[[#This Row],[Date of Call]])+1)</f>
        <v>2025</v>
      </c>
      <c r="J406" t="str">
        <f>TEXT(calls[[#This Row],[Date of Call]],"DDDD")</f>
        <v>Wednesday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478</v>
      </c>
      <c r="C407" t="s">
        <v>58</v>
      </c>
      <c r="D407">
        <v>127</v>
      </c>
      <c r="E407" s="17" t="s">
        <v>34</v>
      </c>
      <c r="F407" s="18">
        <v>45770</v>
      </c>
      <c r="G407">
        <v>160</v>
      </c>
      <c r="H407">
        <v>3.2</v>
      </c>
      <c r="I407">
        <f>IF(MONTH(calls[[#This Row],[Date of Call]])&lt;=6, YEAR(calls[[#This Row],[Date of Call]]), YEAR(calls[[#This Row],[Date of Call]])+1)</f>
        <v>2025</v>
      </c>
      <c r="J407" t="str">
        <f>TEXT(calls[[#This Row],[Date of Call]],"DDDD")</f>
        <v>Wednesday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479</v>
      </c>
      <c r="C408" t="s">
        <v>46</v>
      </c>
      <c r="D408">
        <v>50</v>
      </c>
      <c r="E408" s="17" t="s">
        <v>34</v>
      </c>
      <c r="F408" s="18">
        <v>45770</v>
      </c>
      <c r="G408">
        <v>56</v>
      </c>
      <c r="H408">
        <v>4.7</v>
      </c>
      <c r="I408">
        <f>IF(MONTH(calls[[#This Row],[Date of Call]])&lt;=6, YEAR(calls[[#This Row],[Date of Call]]), YEAR(calls[[#This Row],[Date of Call]])+1)</f>
        <v>2025</v>
      </c>
      <c r="J408" t="str">
        <f>TEXT(calls[[#This Row],[Date of Call]],"DDDD")</f>
        <v>Wednesday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480</v>
      </c>
      <c r="C409" t="s">
        <v>50</v>
      </c>
      <c r="D409">
        <v>88</v>
      </c>
      <c r="E409" s="17" t="s">
        <v>36</v>
      </c>
      <c r="F409" s="18">
        <v>45770</v>
      </c>
      <c r="G409">
        <v>72</v>
      </c>
      <c r="H409">
        <v>4</v>
      </c>
      <c r="I409">
        <f>IF(MONTH(calls[[#This Row],[Date of Call]])&lt;=6, YEAR(calls[[#This Row],[Date of Call]]), YEAR(calls[[#This Row],[Date of Call]])+1)</f>
        <v>2025</v>
      </c>
      <c r="J409" t="str">
        <f>TEXT(calls[[#This Row],[Date of Call]],"DDDD")</f>
        <v>Wednesday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481</v>
      </c>
      <c r="C410" t="s">
        <v>46</v>
      </c>
      <c r="D410">
        <v>139</v>
      </c>
      <c r="E410" s="17" t="s">
        <v>35</v>
      </c>
      <c r="F410" s="18">
        <v>45771</v>
      </c>
      <c r="G410">
        <v>81</v>
      </c>
      <c r="H410">
        <v>4.8</v>
      </c>
      <c r="I410">
        <f>IF(MONTH(calls[[#This Row],[Date of Call]])&lt;=6, YEAR(calls[[#This Row],[Date of Call]]), YEAR(calls[[#This Row],[Date of Call]])+1)</f>
        <v>2025</v>
      </c>
      <c r="J410" t="str">
        <f>TEXT(calls[[#This Row],[Date of Call]],"DDDD")</f>
        <v>Thursday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482</v>
      </c>
      <c r="C411" t="s">
        <v>59</v>
      </c>
      <c r="D411">
        <v>111</v>
      </c>
      <c r="E411" s="17" t="s">
        <v>34</v>
      </c>
      <c r="F411" s="18">
        <v>45771</v>
      </c>
      <c r="G411">
        <v>144</v>
      </c>
      <c r="H411">
        <v>3.9</v>
      </c>
      <c r="I411">
        <f>IF(MONTH(calls[[#This Row],[Date of Call]])&lt;=6, YEAR(calls[[#This Row],[Date of Call]]), YEAR(calls[[#This Row],[Date of Call]])+1)</f>
        <v>2025</v>
      </c>
      <c r="J411" t="str">
        <f>TEXT(calls[[#This Row],[Date of Call]],"DDDD")</f>
        <v>Thursday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483</v>
      </c>
      <c r="C412" t="s">
        <v>56</v>
      </c>
      <c r="D412">
        <v>115</v>
      </c>
      <c r="E412" s="17" t="s">
        <v>35</v>
      </c>
      <c r="F412" s="18">
        <v>45771</v>
      </c>
      <c r="G412">
        <v>111</v>
      </c>
      <c r="H412">
        <v>4.3</v>
      </c>
      <c r="I412">
        <f>IF(MONTH(calls[[#This Row],[Date of Call]])&lt;=6, YEAR(calls[[#This Row],[Date of Call]]), YEAR(calls[[#This Row],[Date of Call]])+1)</f>
        <v>2025</v>
      </c>
      <c r="J412" t="str">
        <f>TEXT(calls[[#This Row],[Date of Call]],"DDDD")</f>
        <v>Thursday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484</v>
      </c>
      <c r="C413" t="s">
        <v>51</v>
      </c>
      <c r="D413">
        <v>26</v>
      </c>
      <c r="E413" s="17" t="s">
        <v>37</v>
      </c>
      <c r="F413" s="18">
        <v>45771</v>
      </c>
      <c r="G413">
        <v>43</v>
      </c>
      <c r="H413">
        <v>4.2</v>
      </c>
      <c r="I413">
        <f>IF(MONTH(calls[[#This Row],[Date of Call]])&lt;=6, YEAR(calls[[#This Row],[Date of Call]]), YEAR(calls[[#This Row],[Date of Call]])+1)</f>
        <v>2025</v>
      </c>
      <c r="J413" t="str">
        <f>TEXT(calls[[#This Row],[Date of Call]],"DDDD")</f>
        <v>Thursday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485</v>
      </c>
      <c r="C414" t="s">
        <v>52</v>
      </c>
      <c r="D414">
        <v>131</v>
      </c>
      <c r="E414" s="17" t="s">
        <v>36</v>
      </c>
      <c r="F414" s="18">
        <v>45771</v>
      </c>
      <c r="G414">
        <v>41</v>
      </c>
      <c r="H414">
        <v>4.9000000000000004</v>
      </c>
      <c r="I414">
        <f>IF(MONTH(calls[[#This Row],[Date of Call]])&lt;=6, YEAR(calls[[#This Row],[Date of Call]]), YEAR(calls[[#This Row],[Date of Call]])+1)</f>
        <v>2025</v>
      </c>
      <c r="J414" t="str">
        <f>TEXT(calls[[#This Row],[Date of Call]],"DDDD")</f>
        <v>Thursday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486</v>
      </c>
      <c r="C415" t="s">
        <v>56</v>
      </c>
      <c r="D415">
        <v>27</v>
      </c>
      <c r="E415" s="17" t="s">
        <v>36</v>
      </c>
      <c r="F415" s="18">
        <v>45771</v>
      </c>
      <c r="G415">
        <v>74</v>
      </c>
      <c r="H415">
        <v>4</v>
      </c>
      <c r="I415">
        <f>IF(MONTH(calls[[#This Row],[Date of Call]])&lt;=6, YEAR(calls[[#This Row],[Date of Call]]), YEAR(calls[[#This Row],[Date of Call]])+1)</f>
        <v>2025</v>
      </c>
      <c r="J415" t="str">
        <f>TEXT(calls[[#This Row],[Date of Call]],"DDDD")</f>
        <v>Thursday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487</v>
      </c>
      <c r="C416" t="s">
        <v>48</v>
      </c>
      <c r="D416">
        <v>75</v>
      </c>
      <c r="E416" s="17" t="s">
        <v>34</v>
      </c>
      <c r="F416" s="18">
        <v>45771</v>
      </c>
      <c r="G416">
        <v>43</v>
      </c>
      <c r="H416">
        <v>4.9000000000000004</v>
      </c>
      <c r="I416">
        <f>IF(MONTH(calls[[#This Row],[Date of Call]])&lt;=6, YEAR(calls[[#This Row],[Date of Call]]), YEAR(calls[[#This Row],[Date of Call]])+1)</f>
        <v>2025</v>
      </c>
      <c r="J416" t="str">
        <f>TEXT(calls[[#This Row],[Date of Call]],"DDDD")</f>
        <v>Thursday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488</v>
      </c>
      <c r="C417" t="s">
        <v>57</v>
      </c>
      <c r="D417">
        <v>123</v>
      </c>
      <c r="E417" s="17" t="s">
        <v>36</v>
      </c>
      <c r="F417" s="18">
        <v>45771</v>
      </c>
      <c r="G417">
        <v>128</v>
      </c>
      <c r="H417">
        <v>3.6</v>
      </c>
      <c r="I417">
        <f>IF(MONTH(calls[[#This Row],[Date of Call]])&lt;=6, YEAR(calls[[#This Row],[Date of Call]]), YEAR(calls[[#This Row],[Date of Call]])+1)</f>
        <v>2025</v>
      </c>
      <c r="J417" t="str">
        <f>TEXT(calls[[#This Row],[Date of Call]],"DDDD")</f>
        <v>Thursday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489</v>
      </c>
      <c r="C418" t="s">
        <v>45</v>
      </c>
      <c r="D418">
        <v>129</v>
      </c>
      <c r="E418" s="17" t="s">
        <v>36</v>
      </c>
      <c r="F418" s="18">
        <v>45772</v>
      </c>
      <c r="G418">
        <v>144</v>
      </c>
      <c r="H418">
        <v>4.0999999999999996</v>
      </c>
      <c r="I418">
        <f>IF(MONTH(calls[[#This Row],[Date of Call]])&lt;=6, YEAR(calls[[#This Row],[Date of Call]]), YEAR(calls[[#This Row],[Date of Call]])+1)</f>
        <v>2025</v>
      </c>
      <c r="J418" t="str">
        <f>TEXT(calls[[#This Row],[Date of Call]],"DDDD")</f>
        <v>Friday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490</v>
      </c>
      <c r="C419" t="s">
        <v>48</v>
      </c>
      <c r="D419">
        <v>124</v>
      </c>
      <c r="E419" s="17" t="s">
        <v>35</v>
      </c>
      <c r="F419" s="18">
        <v>45772</v>
      </c>
      <c r="G419">
        <v>132</v>
      </c>
      <c r="H419">
        <v>4.9000000000000004</v>
      </c>
      <c r="I419">
        <f>IF(MONTH(calls[[#This Row],[Date of Call]])&lt;=6, YEAR(calls[[#This Row],[Date of Call]]), YEAR(calls[[#This Row],[Date of Call]])+1)</f>
        <v>2025</v>
      </c>
      <c r="J419" t="str">
        <f>TEXT(calls[[#This Row],[Date of Call]],"DDDD")</f>
        <v>Friday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491</v>
      </c>
      <c r="C420" t="s">
        <v>56</v>
      </c>
      <c r="D420">
        <v>108</v>
      </c>
      <c r="E420" s="17" t="s">
        <v>35</v>
      </c>
      <c r="F420" s="18">
        <v>45772</v>
      </c>
      <c r="G420">
        <v>180</v>
      </c>
      <c r="H420">
        <v>3.9</v>
      </c>
      <c r="I420">
        <f>IF(MONTH(calls[[#This Row],[Date of Call]])&lt;=6, YEAR(calls[[#This Row],[Date of Call]]), YEAR(calls[[#This Row],[Date of Call]])+1)</f>
        <v>2025</v>
      </c>
      <c r="J420" t="str">
        <f>TEXT(calls[[#This Row],[Date of Call]],"DDDD")</f>
        <v>Friday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492</v>
      </c>
      <c r="C421" t="s">
        <v>47</v>
      </c>
      <c r="D421">
        <v>15</v>
      </c>
      <c r="E421" s="17" t="s">
        <v>35</v>
      </c>
      <c r="F421" s="18">
        <v>45772</v>
      </c>
      <c r="G421">
        <v>31</v>
      </c>
      <c r="H421">
        <v>4.0999999999999996</v>
      </c>
      <c r="I421">
        <f>IF(MONTH(calls[[#This Row],[Date of Call]])&lt;=6, YEAR(calls[[#This Row],[Date of Call]]), YEAR(calls[[#This Row],[Date of Call]])+1)</f>
        <v>2025</v>
      </c>
      <c r="J421" t="str">
        <f>TEXT(calls[[#This Row],[Date of Call]],"DDDD")</f>
        <v>Friday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493</v>
      </c>
      <c r="C422" t="s">
        <v>56</v>
      </c>
      <c r="D422">
        <v>66</v>
      </c>
      <c r="E422" s="17" t="s">
        <v>35</v>
      </c>
      <c r="F422" s="18">
        <v>45772</v>
      </c>
      <c r="G422">
        <v>102</v>
      </c>
      <c r="H422">
        <v>3.8</v>
      </c>
      <c r="I422">
        <f>IF(MONTH(calls[[#This Row],[Date of Call]])&lt;=6, YEAR(calls[[#This Row],[Date of Call]]), YEAR(calls[[#This Row],[Date of Call]])+1)</f>
        <v>2025</v>
      </c>
      <c r="J422" t="str">
        <f>TEXT(calls[[#This Row],[Date of Call]],"DDDD")</f>
        <v>Friday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494</v>
      </c>
      <c r="C423" t="s">
        <v>50</v>
      </c>
      <c r="D423">
        <v>126</v>
      </c>
      <c r="E423" s="17" t="s">
        <v>34</v>
      </c>
      <c r="F423" s="18">
        <v>45773</v>
      </c>
      <c r="G423">
        <v>175</v>
      </c>
      <c r="H423">
        <v>4.8</v>
      </c>
      <c r="I423">
        <f>IF(MONTH(calls[[#This Row],[Date of Call]])&lt;=6, YEAR(calls[[#This Row],[Date of Call]]), YEAR(calls[[#This Row],[Date of Call]])+1)</f>
        <v>2025</v>
      </c>
      <c r="J423" t="str">
        <f>TEXT(calls[[#This Row],[Date of Call]],"DDDD")</f>
        <v>Saturday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495</v>
      </c>
      <c r="C424" t="s">
        <v>48</v>
      </c>
      <c r="D424">
        <v>26</v>
      </c>
      <c r="E424" s="17" t="s">
        <v>38</v>
      </c>
      <c r="F424" s="18">
        <v>45773</v>
      </c>
      <c r="G424">
        <v>87</v>
      </c>
      <c r="H424">
        <v>4.7</v>
      </c>
      <c r="I424">
        <f>IF(MONTH(calls[[#This Row],[Date of Call]])&lt;=6, YEAR(calls[[#This Row],[Date of Call]]), YEAR(calls[[#This Row],[Date of Call]])+1)</f>
        <v>2025</v>
      </c>
      <c r="J424" t="str">
        <f>TEXT(calls[[#This Row],[Date of Call]],"DDDD")</f>
        <v>Saturday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496</v>
      </c>
      <c r="C425" t="s">
        <v>49</v>
      </c>
      <c r="D425">
        <v>105</v>
      </c>
      <c r="E425" s="17" t="s">
        <v>34</v>
      </c>
      <c r="F425" s="18">
        <v>45773</v>
      </c>
      <c r="G425">
        <v>66</v>
      </c>
      <c r="H425">
        <v>4.2</v>
      </c>
      <c r="I425">
        <f>IF(MONTH(calls[[#This Row],[Date of Call]])&lt;=6, YEAR(calls[[#This Row],[Date of Call]]), YEAR(calls[[#This Row],[Date of Call]])+1)</f>
        <v>2025</v>
      </c>
      <c r="J425" t="str">
        <f>TEXT(calls[[#This Row],[Date of Call]],"DDDD")</f>
        <v>Saturday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497</v>
      </c>
      <c r="C426" t="s">
        <v>49</v>
      </c>
      <c r="D426">
        <v>31</v>
      </c>
      <c r="E426" s="17" t="s">
        <v>34</v>
      </c>
      <c r="F426" s="18">
        <v>45773</v>
      </c>
      <c r="G426">
        <v>25</v>
      </c>
      <c r="H426">
        <v>3.2</v>
      </c>
      <c r="I426">
        <f>IF(MONTH(calls[[#This Row],[Date of Call]])&lt;=6, YEAR(calls[[#This Row],[Date of Call]]), YEAR(calls[[#This Row],[Date of Call]])+1)</f>
        <v>2025</v>
      </c>
      <c r="J426" t="str">
        <f>TEXT(calls[[#This Row],[Date of Call]],"DDDD")</f>
        <v>Saturday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498</v>
      </c>
      <c r="C427" t="s">
        <v>56</v>
      </c>
      <c r="D427">
        <v>109</v>
      </c>
      <c r="E427" s="17" t="s">
        <v>35</v>
      </c>
      <c r="F427" s="18">
        <v>45773</v>
      </c>
      <c r="G427">
        <v>126</v>
      </c>
      <c r="H427">
        <v>3.4</v>
      </c>
      <c r="I427">
        <f>IF(MONTH(calls[[#This Row],[Date of Call]])&lt;=6, YEAR(calls[[#This Row],[Date of Call]]), YEAR(calls[[#This Row],[Date of Call]])+1)</f>
        <v>2025</v>
      </c>
      <c r="J427" t="str">
        <f>TEXT(calls[[#This Row],[Date of Call]],"DDDD")</f>
        <v>Saturday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499</v>
      </c>
      <c r="C428" t="s">
        <v>45</v>
      </c>
      <c r="D428">
        <v>113</v>
      </c>
      <c r="E428" s="17" t="s">
        <v>37</v>
      </c>
      <c r="F428" s="18">
        <v>45774</v>
      </c>
      <c r="G428">
        <v>42</v>
      </c>
      <c r="H428">
        <v>4.5999999999999996</v>
      </c>
      <c r="I428">
        <f>IF(MONTH(calls[[#This Row],[Date of Call]])&lt;=6, YEAR(calls[[#This Row],[Date of Call]]), YEAR(calls[[#This Row],[Date of Call]])+1)</f>
        <v>2025</v>
      </c>
      <c r="J428" t="str">
        <f>TEXT(calls[[#This Row],[Date of Call]],"DDDD")</f>
        <v>Sunday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500</v>
      </c>
      <c r="C429" t="s">
        <v>50</v>
      </c>
      <c r="D429">
        <v>101</v>
      </c>
      <c r="E429" s="17" t="s">
        <v>38</v>
      </c>
      <c r="F429" s="18">
        <v>45774</v>
      </c>
      <c r="G429">
        <v>225</v>
      </c>
      <c r="H429">
        <v>1.9</v>
      </c>
      <c r="I429">
        <f>IF(MONTH(calls[[#This Row],[Date of Call]])&lt;=6, YEAR(calls[[#This Row],[Date of Call]]), YEAR(calls[[#This Row],[Date of Call]])+1)</f>
        <v>2025</v>
      </c>
      <c r="J429" t="str">
        <f>TEXT(calls[[#This Row],[Date of Call]],"DDDD")</f>
        <v>Sunday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501</v>
      </c>
      <c r="C430" t="s">
        <v>59</v>
      </c>
      <c r="D430">
        <v>156</v>
      </c>
      <c r="E430" s="17" t="s">
        <v>38</v>
      </c>
      <c r="F430" s="18">
        <v>45774</v>
      </c>
      <c r="G430">
        <v>42</v>
      </c>
      <c r="H430">
        <v>3.3</v>
      </c>
      <c r="I430">
        <f>IF(MONTH(calls[[#This Row],[Date of Call]])&lt;=6, YEAR(calls[[#This Row],[Date of Call]]), YEAR(calls[[#This Row],[Date of Call]])+1)</f>
        <v>2025</v>
      </c>
      <c r="J430" t="str">
        <f>TEXT(calls[[#This Row],[Date of Call]],"DDDD")</f>
        <v>Sunday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502</v>
      </c>
      <c r="C431" t="s">
        <v>56</v>
      </c>
      <c r="D431">
        <v>145</v>
      </c>
      <c r="E431" s="17" t="s">
        <v>37</v>
      </c>
      <c r="F431" s="18">
        <v>45775</v>
      </c>
      <c r="G431">
        <v>110</v>
      </c>
      <c r="H431">
        <v>3.1</v>
      </c>
      <c r="I431">
        <f>IF(MONTH(calls[[#This Row],[Date of Call]])&lt;=6, YEAR(calls[[#This Row],[Date of Call]]), YEAR(calls[[#This Row],[Date of Call]])+1)</f>
        <v>2025</v>
      </c>
      <c r="J431" t="str">
        <f>TEXT(calls[[#This Row],[Date of Call]],"DDDD")</f>
        <v>Monday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503</v>
      </c>
      <c r="C432" t="s">
        <v>57</v>
      </c>
      <c r="D432">
        <v>36</v>
      </c>
      <c r="E432" s="17" t="s">
        <v>35</v>
      </c>
      <c r="F432" s="18">
        <v>45775</v>
      </c>
      <c r="G432">
        <v>225</v>
      </c>
      <c r="H432">
        <v>4.8</v>
      </c>
      <c r="I432">
        <f>IF(MONTH(calls[[#This Row],[Date of Call]])&lt;=6, YEAR(calls[[#This Row],[Date of Call]]), YEAR(calls[[#This Row],[Date of Call]])+1)</f>
        <v>2025</v>
      </c>
      <c r="J432" t="str">
        <f>TEXT(calls[[#This Row],[Date of Call]],"DDDD")</f>
        <v>Monday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504</v>
      </c>
      <c r="C433" t="s">
        <v>49</v>
      </c>
      <c r="D433">
        <v>135</v>
      </c>
      <c r="E433" s="17" t="s">
        <v>36</v>
      </c>
      <c r="F433" s="18">
        <v>45776</v>
      </c>
      <c r="G433">
        <v>125</v>
      </c>
      <c r="H433">
        <v>3.3</v>
      </c>
      <c r="I433">
        <f>IF(MONTH(calls[[#This Row],[Date of Call]])&lt;=6, YEAR(calls[[#This Row],[Date of Call]]), YEAR(calls[[#This Row],[Date of Call]])+1)</f>
        <v>2025</v>
      </c>
      <c r="J433" t="str">
        <f>TEXT(calls[[#This Row],[Date of Call]],"DDDD")</f>
        <v>Tuesday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505</v>
      </c>
      <c r="C434" t="s">
        <v>50</v>
      </c>
      <c r="D434">
        <v>81</v>
      </c>
      <c r="E434" s="17" t="s">
        <v>35</v>
      </c>
      <c r="F434" s="18">
        <v>45776</v>
      </c>
      <c r="G434">
        <v>78</v>
      </c>
      <c r="H434">
        <v>2.9</v>
      </c>
      <c r="I434">
        <f>IF(MONTH(calls[[#This Row],[Date of Call]])&lt;=6, YEAR(calls[[#This Row],[Date of Call]]), YEAR(calls[[#This Row],[Date of Call]])+1)</f>
        <v>2025</v>
      </c>
      <c r="J434" t="str">
        <f>TEXT(calls[[#This Row],[Date of Call]],"DDDD")</f>
        <v>Tuesday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506</v>
      </c>
      <c r="C435" t="s">
        <v>50</v>
      </c>
      <c r="D435">
        <v>81</v>
      </c>
      <c r="E435" s="17" t="s">
        <v>37</v>
      </c>
      <c r="F435" s="18">
        <v>45776</v>
      </c>
      <c r="G435">
        <v>40</v>
      </c>
      <c r="H435">
        <v>2.4</v>
      </c>
      <c r="I435">
        <f>IF(MONTH(calls[[#This Row],[Date of Call]])&lt;=6, YEAR(calls[[#This Row],[Date of Call]]), YEAR(calls[[#This Row],[Date of Call]])+1)</f>
        <v>2025</v>
      </c>
      <c r="J435" t="str">
        <f>TEXT(calls[[#This Row],[Date of Call]],"DDDD")</f>
        <v>Tuesday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507</v>
      </c>
      <c r="C436" t="s">
        <v>58</v>
      </c>
      <c r="D436">
        <v>93</v>
      </c>
      <c r="E436" s="17" t="s">
        <v>34</v>
      </c>
      <c r="F436" s="18">
        <v>45776</v>
      </c>
      <c r="G436">
        <v>150</v>
      </c>
      <c r="H436">
        <v>4.5999999999999996</v>
      </c>
      <c r="I436">
        <f>IF(MONTH(calls[[#This Row],[Date of Call]])&lt;=6, YEAR(calls[[#This Row],[Date of Call]]), YEAR(calls[[#This Row],[Date of Call]])+1)</f>
        <v>2025</v>
      </c>
      <c r="J436" t="str">
        <f>TEXT(calls[[#This Row],[Date of Call]],"DDDD")</f>
        <v>Tuesday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508</v>
      </c>
      <c r="C437" t="s">
        <v>56</v>
      </c>
      <c r="D437">
        <v>14</v>
      </c>
      <c r="E437" s="17" t="s">
        <v>35</v>
      </c>
      <c r="F437" s="18">
        <v>45776</v>
      </c>
      <c r="G437">
        <v>96</v>
      </c>
      <c r="H437">
        <v>4.8</v>
      </c>
      <c r="I437">
        <f>IF(MONTH(calls[[#This Row],[Date of Call]])&lt;=6, YEAR(calls[[#This Row],[Date of Call]]), YEAR(calls[[#This Row],[Date of Call]])+1)</f>
        <v>2025</v>
      </c>
      <c r="J437" t="str">
        <f>TEXT(calls[[#This Row],[Date of Call]],"DDDD")</f>
        <v>Tuesday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509</v>
      </c>
      <c r="C438" t="s">
        <v>49</v>
      </c>
      <c r="D438">
        <v>95</v>
      </c>
      <c r="E438" s="17" t="s">
        <v>37</v>
      </c>
      <c r="F438" s="18">
        <v>45777</v>
      </c>
      <c r="G438">
        <v>75</v>
      </c>
      <c r="H438">
        <v>4.8</v>
      </c>
      <c r="I438">
        <f>IF(MONTH(calls[[#This Row],[Date of Call]])&lt;=6, YEAR(calls[[#This Row],[Date of Call]]), YEAR(calls[[#This Row],[Date of Call]])+1)</f>
        <v>2025</v>
      </c>
      <c r="J438" t="str">
        <f>TEXT(calls[[#This Row],[Date of Call]],"DDDD")</f>
        <v>Wednesday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510</v>
      </c>
      <c r="C439" t="s">
        <v>58</v>
      </c>
      <c r="D439">
        <v>81</v>
      </c>
      <c r="E439" s="17" t="s">
        <v>37</v>
      </c>
      <c r="F439" s="18">
        <v>45777</v>
      </c>
      <c r="G439">
        <v>60</v>
      </c>
      <c r="H439">
        <v>3.6</v>
      </c>
      <c r="I439">
        <f>IF(MONTH(calls[[#This Row],[Date of Call]])&lt;=6, YEAR(calls[[#This Row],[Date of Call]]), YEAR(calls[[#This Row],[Date of Call]])+1)</f>
        <v>2025</v>
      </c>
      <c r="J439" t="str">
        <f>TEXT(calls[[#This Row],[Date of Call]],"DDDD")</f>
        <v>Wednesday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511</v>
      </c>
      <c r="C440" t="s">
        <v>51</v>
      </c>
      <c r="D440">
        <v>60</v>
      </c>
      <c r="E440" s="17" t="s">
        <v>35</v>
      </c>
      <c r="F440" s="18">
        <v>45778</v>
      </c>
      <c r="G440">
        <v>41</v>
      </c>
      <c r="H440">
        <v>4.8</v>
      </c>
      <c r="I440">
        <f>IF(MONTH(calls[[#This Row],[Date of Call]])&lt;=6, YEAR(calls[[#This Row],[Date of Call]]), YEAR(calls[[#This Row],[Date of Call]])+1)</f>
        <v>2025</v>
      </c>
      <c r="J440" t="str">
        <f>TEXT(calls[[#This Row],[Date of Call]],"DDDD")</f>
        <v>Thursday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512</v>
      </c>
      <c r="C441" t="s">
        <v>53</v>
      </c>
      <c r="D441">
        <v>137</v>
      </c>
      <c r="E441" s="17" t="s">
        <v>34</v>
      </c>
      <c r="F441" s="18">
        <v>45778</v>
      </c>
      <c r="G441">
        <v>20</v>
      </c>
      <c r="H441">
        <v>4.2</v>
      </c>
      <c r="I441">
        <f>IF(MONTH(calls[[#This Row],[Date of Call]])&lt;=6, YEAR(calls[[#This Row],[Date of Call]]), YEAR(calls[[#This Row],[Date of Call]])+1)</f>
        <v>2025</v>
      </c>
      <c r="J441" t="str">
        <f>TEXT(calls[[#This Row],[Date of Call]],"DDDD")</f>
        <v>Thursday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513</v>
      </c>
      <c r="C442" t="s">
        <v>46</v>
      </c>
      <c r="D442">
        <v>112</v>
      </c>
      <c r="E442" s="17" t="s">
        <v>36</v>
      </c>
      <c r="F442" s="18">
        <v>45778</v>
      </c>
      <c r="G442">
        <v>84</v>
      </c>
      <c r="H442">
        <v>2.6</v>
      </c>
      <c r="I442">
        <f>IF(MONTH(calls[[#This Row],[Date of Call]])&lt;=6, YEAR(calls[[#This Row],[Date of Call]]), YEAR(calls[[#This Row],[Date of Call]])+1)</f>
        <v>2025</v>
      </c>
      <c r="J442" t="str">
        <f>TEXT(calls[[#This Row],[Date of Call]],"DDDD")</f>
        <v>Thursday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514</v>
      </c>
      <c r="C443" t="s">
        <v>49</v>
      </c>
      <c r="D443">
        <v>76</v>
      </c>
      <c r="E443" s="17" t="s">
        <v>38</v>
      </c>
      <c r="F443" s="18">
        <v>45778</v>
      </c>
      <c r="G443">
        <v>140</v>
      </c>
      <c r="H443">
        <v>3.7</v>
      </c>
      <c r="I443">
        <f>IF(MONTH(calls[[#This Row],[Date of Call]])&lt;=6, YEAR(calls[[#This Row],[Date of Call]]), YEAR(calls[[#This Row],[Date of Call]])+1)</f>
        <v>2025</v>
      </c>
      <c r="J443" t="str">
        <f>TEXT(calls[[#This Row],[Date of Call]],"DDDD")</f>
        <v>Thursday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515</v>
      </c>
      <c r="C444" t="s">
        <v>54</v>
      </c>
      <c r="D444">
        <v>73</v>
      </c>
      <c r="E444" s="17" t="s">
        <v>35</v>
      </c>
      <c r="F444" s="18">
        <v>45778</v>
      </c>
      <c r="G444">
        <v>66</v>
      </c>
      <c r="H444">
        <v>4.8</v>
      </c>
      <c r="I444">
        <f>IF(MONTH(calls[[#This Row],[Date of Call]])&lt;=6, YEAR(calls[[#This Row],[Date of Call]]), YEAR(calls[[#This Row],[Date of Call]])+1)</f>
        <v>2025</v>
      </c>
      <c r="J444" t="str">
        <f>TEXT(calls[[#This Row],[Date of Call]],"DDDD")</f>
        <v>Thursday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516</v>
      </c>
      <c r="C445" t="s">
        <v>52</v>
      </c>
      <c r="D445">
        <v>119</v>
      </c>
      <c r="E445" s="17" t="s">
        <v>34</v>
      </c>
      <c r="F445" s="18">
        <v>45778</v>
      </c>
      <c r="G445">
        <v>105</v>
      </c>
      <c r="H445">
        <v>4.7</v>
      </c>
      <c r="I445">
        <f>IF(MONTH(calls[[#This Row],[Date of Call]])&lt;=6, YEAR(calls[[#This Row],[Date of Call]]), YEAR(calls[[#This Row],[Date of Call]])+1)</f>
        <v>2025</v>
      </c>
      <c r="J445" t="str">
        <f>TEXT(calls[[#This Row],[Date of Call]],"DDDD")</f>
        <v>Thursday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517</v>
      </c>
      <c r="C446" t="s">
        <v>45</v>
      </c>
      <c r="D446">
        <v>135</v>
      </c>
      <c r="E446" s="17" t="s">
        <v>37</v>
      </c>
      <c r="F446" s="18">
        <v>45779</v>
      </c>
      <c r="G446">
        <v>104</v>
      </c>
      <c r="H446">
        <v>4.0999999999999996</v>
      </c>
      <c r="I446">
        <f>IF(MONTH(calls[[#This Row],[Date of Call]])&lt;=6, YEAR(calls[[#This Row],[Date of Call]]), YEAR(calls[[#This Row],[Date of Call]])+1)</f>
        <v>2025</v>
      </c>
      <c r="J446" t="str">
        <f>TEXT(calls[[#This Row],[Date of Call]],"DDDD")</f>
        <v>Friday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518</v>
      </c>
      <c r="C447" t="s">
        <v>53</v>
      </c>
      <c r="D447">
        <v>41</v>
      </c>
      <c r="E447" s="17" t="s">
        <v>36</v>
      </c>
      <c r="F447" s="18">
        <v>45779</v>
      </c>
      <c r="G447">
        <v>123</v>
      </c>
      <c r="H447">
        <v>3.2</v>
      </c>
      <c r="I447">
        <f>IF(MONTH(calls[[#This Row],[Date of Call]])&lt;=6, YEAR(calls[[#This Row],[Date of Call]]), YEAR(calls[[#This Row],[Date of Call]])+1)</f>
        <v>2025</v>
      </c>
      <c r="J447" t="str">
        <f>TEXT(calls[[#This Row],[Date of Call]],"DDDD")</f>
        <v>Friday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519</v>
      </c>
      <c r="C448" t="s">
        <v>56</v>
      </c>
      <c r="D448">
        <v>35</v>
      </c>
      <c r="E448" s="17" t="s">
        <v>37</v>
      </c>
      <c r="F448" s="18">
        <v>45780</v>
      </c>
      <c r="G448">
        <v>215</v>
      </c>
      <c r="H448">
        <v>4.3</v>
      </c>
      <c r="I448">
        <f>IF(MONTH(calls[[#This Row],[Date of Call]])&lt;=6, YEAR(calls[[#This Row],[Date of Call]]), YEAR(calls[[#This Row],[Date of Call]])+1)</f>
        <v>2025</v>
      </c>
      <c r="J448" t="str">
        <f>TEXT(calls[[#This Row],[Date of Call]],"DDDD")</f>
        <v>Saturday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520</v>
      </c>
      <c r="C449" t="s">
        <v>45</v>
      </c>
      <c r="D449">
        <v>96</v>
      </c>
      <c r="E449" s="17" t="s">
        <v>35</v>
      </c>
      <c r="F449" s="18">
        <v>45780</v>
      </c>
      <c r="G449">
        <v>46</v>
      </c>
      <c r="H449">
        <v>0.7</v>
      </c>
      <c r="I449">
        <f>IF(MONTH(calls[[#This Row],[Date of Call]])&lt;=6, YEAR(calls[[#This Row],[Date of Call]]), YEAR(calls[[#This Row],[Date of Call]])+1)</f>
        <v>2025</v>
      </c>
      <c r="J449" t="str">
        <f>TEXT(calls[[#This Row],[Date of Call]],"DDDD")</f>
        <v>Saturday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521</v>
      </c>
      <c r="C450" t="s">
        <v>58</v>
      </c>
      <c r="D450">
        <v>61</v>
      </c>
      <c r="E450" s="17" t="s">
        <v>36</v>
      </c>
      <c r="F450" s="18">
        <v>45780</v>
      </c>
      <c r="G450">
        <v>115</v>
      </c>
      <c r="H450">
        <v>3.7</v>
      </c>
      <c r="I450">
        <f>IF(MONTH(calls[[#This Row],[Date of Call]])&lt;=6, YEAR(calls[[#This Row],[Date of Call]]), YEAR(calls[[#This Row],[Date of Call]])+1)</f>
        <v>2025</v>
      </c>
      <c r="J450" t="str">
        <f>TEXT(calls[[#This Row],[Date of Call]],"DDDD")</f>
        <v>Saturday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522</v>
      </c>
      <c r="C451" t="s">
        <v>45</v>
      </c>
      <c r="D451">
        <v>91</v>
      </c>
      <c r="E451" s="17" t="s">
        <v>36</v>
      </c>
      <c r="F451" s="18">
        <v>45780</v>
      </c>
      <c r="G451">
        <v>124</v>
      </c>
      <c r="H451">
        <v>3.9</v>
      </c>
      <c r="I451">
        <f>IF(MONTH(calls[[#This Row],[Date of Call]])&lt;=6, YEAR(calls[[#This Row],[Date of Call]]), YEAR(calls[[#This Row],[Date of Call]])+1)</f>
        <v>2025</v>
      </c>
      <c r="J451" t="str">
        <f>TEXT(calls[[#This Row],[Date of Call]],"DDDD")</f>
        <v>Saturday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523</v>
      </c>
      <c r="C452" t="s">
        <v>55</v>
      </c>
      <c r="D452">
        <v>30</v>
      </c>
      <c r="E452" s="17" t="s">
        <v>36</v>
      </c>
      <c r="F452" s="18">
        <v>45781</v>
      </c>
      <c r="G452">
        <v>205</v>
      </c>
      <c r="H452">
        <v>4.5</v>
      </c>
      <c r="I452">
        <f>IF(MONTH(calls[[#This Row],[Date of Call]])&lt;=6, YEAR(calls[[#This Row],[Date of Call]]), YEAR(calls[[#This Row],[Date of Call]])+1)</f>
        <v>2025</v>
      </c>
      <c r="J452" t="str">
        <f>TEXT(calls[[#This Row],[Date of Call]],"DDDD")</f>
        <v>Sunday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524</v>
      </c>
      <c r="C453" t="s">
        <v>51</v>
      </c>
      <c r="D453">
        <v>111</v>
      </c>
      <c r="E453" s="17" t="s">
        <v>34</v>
      </c>
      <c r="F453" s="18">
        <v>45781</v>
      </c>
      <c r="G453">
        <v>90</v>
      </c>
      <c r="H453">
        <v>2.8</v>
      </c>
      <c r="I453">
        <f>IF(MONTH(calls[[#This Row],[Date of Call]])&lt;=6, YEAR(calls[[#This Row],[Date of Call]]), YEAR(calls[[#This Row],[Date of Call]])+1)</f>
        <v>2025</v>
      </c>
      <c r="J453" t="str">
        <f>TEXT(calls[[#This Row],[Date of Call]],"DDDD")</f>
        <v>Sunday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525</v>
      </c>
      <c r="C454" t="s">
        <v>58</v>
      </c>
      <c r="D454">
        <v>81</v>
      </c>
      <c r="E454" s="17" t="s">
        <v>35</v>
      </c>
      <c r="F454" s="18">
        <v>45781</v>
      </c>
      <c r="G454">
        <v>92</v>
      </c>
      <c r="H454">
        <v>4.9000000000000004</v>
      </c>
      <c r="I454">
        <f>IF(MONTH(calls[[#This Row],[Date of Call]])&lt;=6, YEAR(calls[[#This Row],[Date of Call]]), YEAR(calls[[#This Row],[Date of Call]])+1)</f>
        <v>2025</v>
      </c>
      <c r="J454" t="str">
        <f>TEXT(calls[[#This Row],[Date of Call]],"DDDD")</f>
        <v>Sunday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526</v>
      </c>
      <c r="C455" t="s">
        <v>49</v>
      </c>
      <c r="D455">
        <v>40</v>
      </c>
      <c r="E455" s="17" t="s">
        <v>37</v>
      </c>
      <c r="F455" s="18">
        <v>45783</v>
      </c>
      <c r="G455">
        <v>108</v>
      </c>
      <c r="H455">
        <v>4.2</v>
      </c>
      <c r="I455">
        <f>IF(MONTH(calls[[#This Row],[Date of Call]])&lt;=6, YEAR(calls[[#This Row],[Date of Call]]), YEAR(calls[[#This Row],[Date of Call]])+1)</f>
        <v>2025</v>
      </c>
      <c r="J455" t="str">
        <f>TEXT(calls[[#This Row],[Date of Call]],"DDDD")</f>
        <v>Tuesday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527</v>
      </c>
      <c r="C456" t="s">
        <v>51</v>
      </c>
      <c r="D456">
        <v>143</v>
      </c>
      <c r="E456" s="17" t="s">
        <v>37</v>
      </c>
      <c r="F456" s="18">
        <v>45783</v>
      </c>
      <c r="G456">
        <v>54</v>
      </c>
      <c r="H456">
        <v>4.4000000000000004</v>
      </c>
      <c r="I456">
        <f>IF(MONTH(calls[[#This Row],[Date of Call]])&lt;=6, YEAR(calls[[#This Row],[Date of Call]]), YEAR(calls[[#This Row],[Date of Call]])+1)</f>
        <v>2025</v>
      </c>
      <c r="J456" t="str">
        <f>TEXT(calls[[#This Row],[Date of Call]],"DDDD")</f>
        <v>Tuesday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528</v>
      </c>
      <c r="C457" t="s">
        <v>49</v>
      </c>
      <c r="D457">
        <v>70</v>
      </c>
      <c r="E457" s="17" t="s">
        <v>37</v>
      </c>
      <c r="F457" s="18">
        <v>45784</v>
      </c>
      <c r="G457">
        <v>44</v>
      </c>
      <c r="H457">
        <v>3.5</v>
      </c>
      <c r="I457">
        <f>IF(MONTH(calls[[#This Row],[Date of Call]])&lt;=6, YEAR(calls[[#This Row],[Date of Call]]), YEAR(calls[[#This Row],[Date of Call]])+1)</f>
        <v>2025</v>
      </c>
      <c r="J457" t="str">
        <f>TEXT(calls[[#This Row],[Date of Call]],"DDDD")</f>
        <v>Wednesday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529</v>
      </c>
      <c r="C458" t="s">
        <v>54</v>
      </c>
      <c r="D458">
        <v>137</v>
      </c>
      <c r="E458" s="17" t="s">
        <v>37</v>
      </c>
      <c r="F458" s="18">
        <v>45784</v>
      </c>
      <c r="G458">
        <v>44</v>
      </c>
      <c r="H458">
        <v>4.7</v>
      </c>
      <c r="I458">
        <f>IF(MONTH(calls[[#This Row],[Date of Call]])&lt;=6, YEAR(calls[[#This Row],[Date of Call]]), YEAR(calls[[#This Row],[Date of Call]])+1)</f>
        <v>2025</v>
      </c>
      <c r="J458" t="str">
        <f>TEXT(calls[[#This Row],[Date of Call]],"DDDD")</f>
        <v>Wednesday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530</v>
      </c>
      <c r="C459" t="s">
        <v>45</v>
      </c>
      <c r="D459">
        <v>52</v>
      </c>
      <c r="E459" s="17" t="s">
        <v>35</v>
      </c>
      <c r="F459" s="18">
        <v>45785</v>
      </c>
      <c r="G459">
        <v>37</v>
      </c>
      <c r="H459">
        <v>4.9000000000000004</v>
      </c>
      <c r="I459">
        <f>IF(MONTH(calls[[#This Row],[Date of Call]])&lt;=6, YEAR(calls[[#This Row],[Date of Call]]), YEAR(calls[[#This Row],[Date of Call]])+1)</f>
        <v>2025</v>
      </c>
      <c r="J459" t="str">
        <f>TEXT(calls[[#This Row],[Date of Call]],"DDDD")</f>
        <v>Thursday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531</v>
      </c>
      <c r="C460" t="s">
        <v>46</v>
      </c>
      <c r="D460">
        <v>31</v>
      </c>
      <c r="E460" s="17" t="s">
        <v>34</v>
      </c>
      <c r="F460" s="18">
        <v>45785</v>
      </c>
      <c r="G460">
        <v>180</v>
      </c>
      <c r="H460">
        <v>4.5</v>
      </c>
      <c r="I460">
        <f>IF(MONTH(calls[[#This Row],[Date of Call]])&lt;=6, YEAR(calls[[#This Row],[Date of Call]]), YEAR(calls[[#This Row],[Date of Call]])+1)</f>
        <v>2025</v>
      </c>
      <c r="J460" t="str">
        <f>TEXT(calls[[#This Row],[Date of Call]],"DDDD")</f>
        <v>Thursday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532</v>
      </c>
      <c r="C461" t="s">
        <v>45</v>
      </c>
      <c r="D461">
        <v>114</v>
      </c>
      <c r="E461" s="17" t="s">
        <v>36</v>
      </c>
      <c r="F461" s="18">
        <v>45785</v>
      </c>
      <c r="G461">
        <v>105</v>
      </c>
      <c r="H461">
        <v>4.9000000000000004</v>
      </c>
      <c r="I461">
        <f>IF(MONTH(calls[[#This Row],[Date of Call]])&lt;=6, YEAR(calls[[#This Row],[Date of Call]]), YEAR(calls[[#This Row],[Date of Call]])+1)</f>
        <v>2025</v>
      </c>
      <c r="J461" t="str">
        <f>TEXT(calls[[#This Row],[Date of Call]],"DDDD")</f>
        <v>Thursday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533</v>
      </c>
      <c r="C462" t="s">
        <v>54</v>
      </c>
      <c r="D462">
        <v>73</v>
      </c>
      <c r="E462" s="17" t="s">
        <v>38</v>
      </c>
      <c r="F462" s="18">
        <v>45785</v>
      </c>
      <c r="G462">
        <v>87</v>
      </c>
      <c r="H462">
        <v>3.6</v>
      </c>
      <c r="I462">
        <f>IF(MONTH(calls[[#This Row],[Date of Call]])&lt;=6, YEAR(calls[[#This Row],[Date of Call]]), YEAR(calls[[#This Row],[Date of Call]])+1)</f>
        <v>2025</v>
      </c>
      <c r="J462" t="str">
        <f>TEXT(calls[[#This Row],[Date of Call]],"DDDD")</f>
        <v>Thursday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534</v>
      </c>
      <c r="C463" t="s">
        <v>58</v>
      </c>
      <c r="D463">
        <v>25</v>
      </c>
      <c r="E463" s="17" t="s">
        <v>34</v>
      </c>
      <c r="F463" s="18">
        <v>45785</v>
      </c>
      <c r="G463">
        <v>52</v>
      </c>
      <c r="H463">
        <v>3.8</v>
      </c>
      <c r="I463">
        <f>IF(MONTH(calls[[#This Row],[Date of Call]])&lt;=6, YEAR(calls[[#This Row],[Date of Call]]), YEAR(calls[[#This Row],[Date of Call]])+1)</f>
        <v>2025</v>
      </c>
      <c r="J463" t="str">
        <f>TEXT(calls[[#This Row],[Date of Call]],"DDDD")</f>
        <v>Thursday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535</v>
      </c>
      <c r="C464" t="s">
        <v>47</v>
      </c>
      <c r="D464">
        <v>44</v>
      </c>
      <c r="E464" s="17" t="s">
        <v>36</v>
      </c>
      <c r="F464" s="18">
        <v>45785</v>
      </c>
      <c r="G464">
        <v>63</v>
      </c>
      <c r="H464">
        <v>3.5</v>
      </c>
      <c r="I464">
        <f>IF(MONTH(calls[[#This Row],[Date of Call]])&lt;=6, YEAR(calls[[#This Row],[Date of Call]]), YEAR(calls[[#This Row],[Date of Call]])+1)</f>
        <v>2025</v>
      </c>
      <c r="J464" t="str">
        <f>TEXT(calls[[#This Row],[Date of Call]],"DDDD")</f>
        <v>Thursday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536</v>
      </c>
      <c r="C465" t="s">
        <v>57</v>
      </c>
      <c r="D465">
        <v>34</v>
      </c>
      <c r="E465" s="17" t="s">
        <v>35</v>
      </c>
      <c r="F465" s="18">
        <v>45786</v>
      </c>
      <c r="G465">
        <v>195</v>
      </c>
      <c r="H465">
        <v>4.8</v>
      </c>
      <c r="I465">
        <f>IF(MONTH(calls[[#This Row],[Date of Call]])&lt;=6, YEAR(calls[[#This Row],[Date of Call]]), YEAR(calls[[#This Row],[Date of Call]])+1)</f>
        <v>2025</v>
      </c>
      <c r="J465" t="str">
        <f>TEXT(calls[[#This Row],[Date of Call]],"DDDD")</f>
        <v>Friday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537</v>
      </c>
      <c r="C466" t="s">
        <v>51</v>
      </c>
      <c r="D466">
        <v>89</v>
      </c>
      <c r="E466" s="17" t="s">
        <v>37</v>
      </c>
      <c r="F466" s="18">
        <v>45787</v>
      </c>
      <c r="G466">
        <v>176</v>
      </c>
      <c r="H466">
        <v>4.5</v>
      </c>
      <c r="I466">
        <f>IF(MONTH(calls[[#This Row],[Date of Call]])&lt;=6, YEAR(calls[[#This Row],[Date of Call]]), YEAR(calls[[#This Row],[Date of Call]])+1)</f>
        <v>2025</v>
      </c>
      <c r="J466" t="str">
        <f>TEXT(calls[[#This Row],[Date of Call]],"DDDD")</f>
        <v>Saturday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538</v>
      </c>
      <c r="C467" t="s">
        <v>52</v>
      </c>
      <c r="D467">
        <v>54</v>
      </c>
      <c r="E467" s="17" t="s">
        <v>34</v>
      </c>
      <c r="F467" s="18">
        <v>45788</v>
      </c>
      <c r="G467">
        <v>31</v>
      </c>
      <c r="H467">
        <v>3.3</v>
      </c>
      <c r="I467">
        <f>IF(MONTH(calls[[#This Row],[Date of Call]])&lt;=6, YEAR(calls[[#This Row],[Date of Call]]), YEAR(calls[[#This Row],[Date of Call]])+1)</f>
        <v>2025</v>
      </c>
      <c r="J467" t="str">
        <f>TEXT(calls[[#This Row],[Date of Call]],"DDDD")</f>
        <v>Sunday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539</v>
      </c>
      <c r="C468" t="s">
        <v>56</v>
      </c>
      <c r="D468">
        <v>25</v>
      </c>
      <c r="E468" s="17" t="s">
        <v>34</v>
      </c>
      <c r="F468" s="18">
        <v>45789</v>
      </c>
      <c r="G468">
        <v>27</v>
      </c>
      <c r="H468">
        <v>3.2</v>
      </c>
      <c r="I468">
        <f>IF(MONTH(calls[[#This Row],[Date of Call]])&lt;=6, YEAR(calls[[#This Row],[Date of Call]]), YEAR(calls[[#This Row],[Date of Call]])+1)</f>
        <v>2025</v>
      </c>
      <c r="J468" t="str">
        <f>TEXT(calls[[#This Row],[Date of Call]],"DDDD")</f>
        <v>Monday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540</v>
      </c>
      <c r="C469" t="s">
        <v>53</v>
      </c>
      <c r="D469">
        <v>91</v>
      </c>
      <c r="E469" s="17" t="s">
        <v>37</v>
      </c>
      <c r="F469" s="18">
        <v>45789</v>
      </c>
      <c r="G469">
        <v>76</v>
      </c>
      <c r="H469">
        <v>4.9000000000000004</v>
      </c>
      <c r="I469">
        <f>IF(MONTH(calls[[#This Row],[Date of Call]])&lt;=6, YEAR(calls[[#This Row],[Date of Call]]), YEAR(calls[[#This Row],[Date of Call]])+1)</f>
        <v>2025</v>
      </c>
      <c r="J469" t="str">
        <f>TEXT(calls[[#This Row],[Date of Call]],"DDDD")</f>
        <v>Monday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541</v>
      </c>
      <c r="C470" t="s">
        <v>47</v>
      </c>
      <c r="D470">
        <v>144</v>
      </c>
      <c r="E470" s="17" t="s">
        <v>36</v>
      </c>
      <c r="F470" s="18">
        <v>45789</v>
      </c>
      <c r="G470">
        <v>62</v>
      </c>
      <c r="H470">
        <v>4.8</v>
      </c>
      <c r="I470">
        <f>IF(MONTH(calls[[#This Row],[Date of Call]])&lt;=6, YEAR(calls[[#This Row],[Date of Call]]), YEAR(calls[[#This Row],[Date of Call]])+1)</f>
        <v>2025</v>
      </c>
      <c r="J470" t="str">
        <f>TEXT(calls[[#This Row],[Date of Call]],"DDDD")</f>
        <v>Monday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542</v>
      </c>
      <c r="C471" t="s">
        <v>53</v>
      </c>
      <c r="D471">
        <v>81</v>
      </c>
      <c r="E471" s="17" t="s">
        <v>35</v>
      </c>
      <c r="F471" s="18">
        <v>45791</v>
      </c>
      <c r="G471">
        <v>100</v>
      </c>
      <c r="H471">
        <v>1.3</v>
      </c>
      <c r="I471">
        <f>IF(MONTH(calls[[#This Row],[Date of Call]])&lt;=6, YEAR(calls[[#This Row],[Date of Call]]), YEAR(calls[[#This Row],[Date of Call]])+1)</f>
        <v>2025</v>
      </c>
      <c r="J471" t="str">
        <f>TEXT(calls[[#This Row],[Date of Call]],"DDDD")</f>
        <v>Wednesday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543</v>
      </c>
      <c r="C472" t="s">
        <v>55</v>
      </c>
      <c r="D472">
        <v>92</v>
      </c>
      <c r="E472" s="17" t="s">
        <v>34</v>
      </c>
      <c r="F472" s="18">
        <v>45791</v>
      </c>
      <c r="G472">
        <v>44</v>
      </c>
      <c r="H472">
        <v>3.1</v>
      </c>
      <c r="I472">
        <f>IF(MONTH(calls[[#This Row],[Date of Call]])&lt;=6, YEAR(calls[[#This Row],[Date of Call]]), YEAR(calls[[#This Row],[Date of Call]])+1)</f>
        <v>2025</v>
      </c>
      <c r="J472" t="str">
        <f>TEXT(calls[[#This Row],[Date of Call]],"DDDD")</f>
        <v>Wednesday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544</v>
      </c>
      <c r="C473" t="s">
        <v>56</v>
      </c>
      <c r="D473">
        <v>115</v>
      </c>
      <c r="E473" s="17" t="s">
        <v>37</v>
      </c>
      <c r="F473" s="18">
        <v>45791</v>
      </c>
      <c r="G473">
        <v>168</v>
      </c>
      <c r="H473">
        <v>3.4</v>
      </c>
      <c r="I473">
        <f>IF(MONTH(calls[[#This Row],[Date of Call]])&lt;=6, YEAR(calls[[#This Row],[Date of Call]]), YEAR(calls[[#This Row],[Date of Call]])+1)</f>
        <v>2025</v>
      </c>
      <c r="J473" t="str">
        <f>TEXT(calls[[#This Row],[Date of Call]],"DDDD")</f>
        <v>Wednesday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545</v>
      </c>
      <c r="C474" t="s">
        <v>50</v>
      </c>
      <c r="D474">
        <v>56</v>
      </c>
      <c r="E474" s="17" t="s">
        <v>37</v>
      </c>
      <c r="F474" s="18">
        <v>45792</v>
      </c>
      <c r="G474">
        <v>200</v>
      </c>
      <c r="H474">
        <v>4.5999999999999996</v>
      </c>
      <c r="I474">
        <f>IF(MONTH(calls[[#This Row],[Date of Call]])&lt;=6, YEAR(calls[[#This Row],[Date of Call]]), YEAR(calls[[#This Row],[Date of Call]])+1)</f>
        <v>2025</v>
      </c>
      <c r="J474" t="str">
        <f>TEXT(calls[[#This Row],[Date of Call]],"DDDD")</f>
        <v>Thursday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546</v>
      </c>
      <c r="C475" t="s">
        <v>46</v>
      </c>
      <c r="D475">
        <v>154</v>
      </c>
      <c r="E475" s="17" t="s">
        <v>34</v>
      </c>
      <c r="F475" s="18">
        <v>45792</v>
      </c>
      <c r="G475">
        <v>84</v>
      </c>
      <c r="H475">
        <v>4.3</v>
      </c>
      <c r="I475">
        <f>IF(MONTH(calls[[#This Row],[Date of Call]])&lt;=6, YEAR(calls[[#This Row],[Date of Call]]), YEAR(calls[[#This Row],[Date of Call]])+1)</f>
        <v>2025</v>
      </c>
      <c r="J475" t="str">
        <f>TEXT(calls[[#This Row],[Date of Call]],"DDDD")</f>
        <v>Thursday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547</v>
      </c>
      <c r="C476" t="s">
        <v>51</v>
      </c>
      <c r="D476">
        <v>51</v>
      </c>
      <c r="E476" s="17" t="s">
        <v>37</v>
      </c>
      <c r="F476" s="18">
        <v>45793</v>
      </c>
      <c r="G476">
        <v>117</v>
      </c>
      <c r="H476">
        <v>2.7</v>
      </c>
      <c r="I476">
        <f>IF(MONTH(calls[[#This Row],[Date of Call]])&lt;=6, YEAR(calls[[#This Row],[Date of Call]]), YEAR(calls[[#This Row],[Date of Call]])+1)</f>
        <v>2025</v>
      </c>
      <c r="J476" t="str">
        <f>TEXT(calls[[#This Row],[Date of Call]],"DDDD")</f>
        <v>Friday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548</v>
      </c>
      <c r="C477" t="s">
        <v>57</v>
      </c>
      <c r="D477">
        <v>21</v>
      </c>
      <c r="E477" s="17" t="s">
        <v>35</v>
      </c>
      <c r="F477" s="18">
        <v>45793</v>
      </c>
      <c r="G477">
        <v>63</v>
      </c>
      <c r="H477">
        <v>4.2</v>
      </c>
      <c r="I477">
        <f>IF(MONTH(calls[[#This Row],[Date of Call]])&lt;=6, YEAR(calls[[#This Row],[Date of Call]]), YEAR(calls[[#This Row],[Date of Call]])+1)</f>
        <v>2025</v>
      </c>
      <c r="J477" t="str">
        <f>TEXT(calls[[#This Row],[Date of Call]],"DDDD")</f>
        <v>Friday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549</v>
      </c>
      <c r="C478" t="s">
        <v>56</v>
      </c>
      <c r="D478">
        <v>80</v>
      </c>
      <c r="E478" s="17" t="s">
        <v>37</v>
      </c>
      <c r="F478" s="18">
        <v>45794</v>
      </c>
      <c r="G478">
        <v>145</v>
      </c>
      <c r="H478">
        <v>4.9000000000000004</v>
      </c>
      <c r="I478">
        <f>IF(MONTH(calls[[#This Row],[Date of Call]])&lt;=6, YEAR(calls[[#This Row],[Date of Call]]), YEAR(calls[[#This Row],[Date of Call]])+1)</f>
        <v>2025</v>
      </c>
      <c r="J478" t="str">
        <f>TEXT(calls[[#This Row],[Date of Call]],"DDDD")</f>
        <v>Saturday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550</v>
      </c>
      <c r="C479" t="s">
        <v>51</v>
      </c>
      <c r="D479">
        <v>139</v>
      </c>
      <c r="E479" s="17" t="s">
        <v>34</v>
      </c>
      <c r="F479" s="18">
        <v>45794</v>
      </c>
      <c r="G479">
        <v>220</v>
      </c>
      <c r="H479">
        <v>3.2</v>
      </c>
      <c r="I479">
        <f>IF(MONTH(calls[[#This Row],[Date of Call]])&lt;=6, YEAR(calls[[#This Row],[Date of Call]]), YEAR(calls[[#This Row],[Date of Call]])+1)</f>
        <v>2025</v>
      </c>
      <c r="J479" t="str">
        <f>TEXT(calls[[#This Row],[Date of Call]],"DDDD")</f>
        <v>Saturday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551</v>
      </c>
      <c r="C480" t="s">
        <v>49</v>
      </c>
      <c r="D480">
        <v>50</v>
      </c>
      <c r="E480" s="17" t="s">
        <v>35</v>
      </c>
      <c r="F480" s="18">
        <v>45794</v>
      </c>
      <c r="G480">
        <v>26</v>
      </c>
      <c r="H480">
        <v>4.7</v>
      </c>
      <c r="I480">
        <f>IF(MONTH(calls[[#This Row],[Date of Call]])&lt;=6, YEAR(calls[[#This Row],[Date of Call]]), YEAR(calls[[#This Row],[Date of Call]])+1)</f>
        <v>2025</v>
      </c>
      <c r="J480" t="str">
        <f>TEXT(calls[[#This Row],[Date of Call]],"DDDD")</f>
        <v>Saturday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552</v>
      </c>
      <c r="C481" t="s">
        <v>56</v>
      </c>
      <c r="D481">
        <v>88</v>
      </c>
      <c r="E481" s="17" t="s">
        <v>37</v>
      </c>
      <c r="F481" s="18">
        <v>45794</v>
      </c>
      <c r="G481">
        <v>78</v>
      </c>
      <c r="H481">
        <v>4.3</v>
      </c>
      <c r="I481">
        <f>IF(MONTH(calls[[#This Row],[Date of Call]])&lt;=6, YEAR(calls[[#This Row],[Date of Call]]), YEAR(calls[[#This Row],[Date of Call]])+1)</f>
        <v>2025</v>
      </c>
      <c r="J481" t="str">
        <f>TEXT(calls[[#This Row],[Date of Call]],"DDDD")</f>
        <v>Saturday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553</v>
      </c>
      <c r="C482" t="s">
        <v>52</v>
      </c>
      <c r="D482">
        <v>19</v>
      </c>
      <c r="E482" s="17" t="s">
        <v>36</v>
      </c>
      <c r="F482" s="18">
        <v>45795</v>
      </c>
      <c r="G482">
        <v>132</v>
      </c>
      <c r="H482">
        <v>4.3</v>
      </c>
      <c r="I482">
        <f>IF(MONTH(calls[[#This Row],[Date of Call]])&lt;=6, YEAR(calls[[#This Row],[Date of Call]]), YEAR(calls[[#This Row],[Date of Call]])+1)</f>
        <v>2025</v>
      </c>
      <c r="J482" t="str">
        <f>TEXT(calls[[#This Row],[Date of Call]],"DDDD")</f>
        <v>Sunday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554</v>
      </c>
      <c r="C483" t="s">
        <v>58</v>
      </c>
      <c r="D483">
        <v>104</v>
      </c>
      <c r="E483" s="17" t="s">
        <v>36</v>
      </c>
      <c r="F483" s="18">
        <v>45796</v>
      </c>
      <c r="G483">
        <v>68</v>
      </c>
      <c r="H483">
        <v>3.7</v>
      </c>
      <c r="I483">
        <f>IF(MONTH(calls[[#This Row],[Date of Call]])&lt;=6, YEAR(calls[[#This Row],[Date of Call]]), YEAR(calls[[#This Row],[Date of Call]])+1)</f>
        <v>2025</v>
      </c>
      <c r="J483" t="str">
        <f>TEXT(calls[[#This Row],[Date of Call]],"DDDD")</f>
        <v>Monday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555</v>
      </c>
      <c r="C484" t="s">
        <v>46</v>
      </c>
      <c r="D484">
        <v>67</v>
      </c>
      <c r="E484" s="17" t="s">
        <v>34</v>
      </c>
      <c r="F484" s="18">
        <v>45798</v>
      </c>
      <c r="G484">
        <v>129</v>
      </c>
      <c r="H484">
        <v>4.7</v>
      </c>
      <c r="I484">
        <f>IF(MONTH(calls[[#This Row],[Date of Call]])&lt;=6, YEAR(calls[[#This Row],[Date of Call]]), YEAR(calls[[#This Row],[Date of Call]])+1)</f>
        <v>2025</v>
      </c>
      <c r="J484" t="str">
        <f>TEXT(calls[[#This Row],[Date of Call]],"DDDD")</f>
        <v>Wednesday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556</v>
      </c>
      <c r="C485" t="s">
        <v>48</v>
      </c>
      <c r="D485">
        <v>107</v>
      </c>
      <c r="E485" s="17" t="s">
        <v>36</v>
      </c>
      <c r="F485" s="18">
        <v>45798</v>
      </c>
      <c r="G485">
        <v>115</v>
      </c>
      <c r="H485">
        <v>4.9000000000000004</v>
      </c>
      <c r="I485">
        <f>IF(MONTH(calls[[#This Row],[Date of Call]])&lt;=6, YEAR(calls[[#This Row],[Date of Call]]), YEAR(calls[[#This Row],[Date of Call]])+1)</f>
        <v>2025</v>
      </c>
      <c r="J485" t="str">
        <f>TEXT(calls[[#This Row],[Date of Call]],"DDDD")</f>
        <v>Wednesday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557</v>
      </c>
      <c r="C486" t="s">
        <v>48</v>
      </c>
      <c r="D486">
        <v>93</v>
      </c>
      <c r="E486" s="17" t="s">
        <v>36</v>
      </c>
      <c r="F486" s="18">
        <v>45798</v>
      </c>
      <c r="G486">
        <v>128</v>
      </c>
      <c r="H486">
        <v>3.9</v>
      </c>
      <c r="I486">
        <f>IF(MONTH(calls[[#This Row],[Date of Call]])&lt;=6, YEAR(calls[[#This Row],[Date of Call]]), YEAR(calls[[#This Row],[Date of Call]])+1)</f>
        <v>2025</v>
      </c>
      <c r="J486" t="str">
        <f>TEXT(calls[[#This Row],[Date of Call]],"DDDD")</f>
        <v>Wednesday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558</v>
      </c>
      <c r="C487" t="s">
        <v>48</v>
      </c>
      <c r="D487">
        <v>117</v>
      </c>
      <c r="E487" s="17" t="s">
        <v>34</v>
      </c>
      <c r="F487" s="18">
        <v>45798</v>
      </c>
      <c r="G487">
        <v>90</v>
      </c>
      <c r="H487">
        <v>4.5</v>
      </c>
      <c r="I487">
        <f>IF(MONTH(calls[[#This Row],[Date of Call]])&lt;=6, YEAR(calls[[#This Row],[Date of Call]]), YEAR(calls[[#This Row],[Date of Call]])+1)</f>
        <v>2025</v>
      </c>
      <c r="J487" t="str">
        <f>TEXT(calls[[#This Row],[Date of Call]],"DDDD")</f>
        <v>Wednesday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559</v>
      </c>
      <c r="C488" t="s">
        <v>49</v>
      </c>
      <c r="D488">
        <v>76</v>
      </c>
      <c r="E488" s="17" t="s">
        <v>37</v>
      </c>
      <c r="F488" s="18">
        <v>45799</v>
      </c>
      <c r="G488">
        <v>39</v>
      </c>
      <c r="H488">
        <v>4.5999999999999996</v>
      </c>
      <c r="I488">
        <f>IF(MONTH(calls[[#This Row],[Date of Call]])&lt;=6, YEAR(calls[[#This Row],[Date of Call]]), YEAR(calls[[#This Row],[Date of Call]])+1)</f>
        <v>2025</v>
      </c>
      <c r="J488" t="str">
        <f>TEXT(calls[[#This Row],[Date of Call]],"DDDD")</f>
        <v>Thursday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560</v>
      </c>
      <c r="C489" t="s">
        <v>52</v>
      </c>
      <c r="D489">
        <v>64</v>
      </c>
      <c r="E489" s="17" t="s">
        <v>36</v>
      </c>
      <c r="F489" s="18">
        <v>45799</v>
      </c>
      <c r="G489">
        <v>132</v>
      </c>
      <c r="H489">
        <v>3.3</v>
      </c>
      <c r="I489">
        <f>IF(MONTH(calls[[#This Row],[Date of Call]])&lt;=6, YEAR(calls[[#This Row],[Date of Call]]), YEAR(calls[[#This Row],[Date of Call]])+1)</f>
        <v>2025</v>
      </c>
      <c r="J489" t="str">
        <f>TEXT(calls[[#This Row],[Date of Call]],"DDDD")</f>
        <v>Thursday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561</v>
      </c>
      <c r="C490" t="s">
        <v>47</v>
      </c>
      <c r="D490">
        <v>33</v>
      </c>
      <c r="E490" s="17" t="s">
        <v>36</v>
      </c>
      <c r="F490" s="18">
        <v>45799</v>
      </c>
      <c r="G490">
        <v>170</v>
      </c>
      <c r="H490">
        <v>3.8</v>
      </c>
      <c r="I490">
        <f>IF(MONTH(calls[[#This Row],[Date of Call]])&lt;=6, YEAR(calls[[#This Row],[Date of Call]]), YEAR(calls[[#This Row],[Date of Call]])+1)</f>
        <v>2025</v>
      </c>
      <c r="J490" t="str">
        <f>TEXT(calls[[#This Row],[Date of Call]],"DDDD")</f>
        <v>Thursday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562</v>
      </c>
      <c r="C491" t="s">
        <v>48</v>
      </c>
      <c r="D491">
        <v>115</v>
      </c>
      <c r="E491" s="17" t="s">
        <v>34</v>
      </c>
      <c r="F491" s="18">
        <v>45799</v>
      </c>
      <c r="G491">
        <v>42</v>
      </c>
      <c r="H491">
        <v>4.7</v>
      </c>
      <c r="I491">
        <f>IF(MONTH(calls[[#This Row],[Date of Call]])&lt;=6, YEAR(calls[[#This Row],[Date of Call]]), YEAR(calls[[#This Row],[Date of Call]])+1)</f>
        <v>2025</v>
      </c>
      <c r="J491" t="str">
        <f>TEXT(calls[[#This Row],[Date of Call]],"DDDD")</f>
        <v>Thursday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563</v>
      </c>
      <c r="C492" t="s">
        <v>59</v>
      </c>
      <c r="D492">
        <v>155</v>
      </c>
      <c r="E492" s="17" t="s">
        <v>37</v>
      </c>
      <c r="F492" s="18">
        <v>45800</v>
      </c>
      <c r="G492">
        <v>37</v>
      </c>
      <c r="H492">
        <v>4</v>
      </c>
      <c r="I492">
        <f>IF(MONTH(calls[[#This Row],[Date of Call]])&lt;=6, YEAR(calls[[#This Row],[Date of Call]]), YEAR(calls[[#This Row],[Date of Call]])+1)</f>
        <v>2025</v>
      </c>
      <c r="J492" t="str">
        <f>TEXT(calls[[#This Row],[Date of Call]],"DDDD")</f>
        <v>Friday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564</v>
      </c>
      <c r="C493" t="s">
        <v>46</v>
      </c>
      <c r="D493">
        <v>117</v>
      </c>
      <c r="E493" s="17" t="s">
        <v>37</v>
      </c>
      <c r="F493" s="18">
        <v>45800</v>
      </c>
      <c r="G493">
        <v>88</v>
      </c>
      <c r="H493">
        <v>4.7</v>
      </c>
      <c r="I493">
        <f>IF(MONTH(calls[[#This Row],[Date of Call]])&lt;=6, YEAR(calls[[#This Row],[Date of Call]]), YEAR(calls[[#This Row],[Date of Call]])+1)</f>
        <v>2025</v>
      </c>
      <c r="J493" t="str">
        <f>TEXT(calls[[#This Row],[Date of Call]],"DDDD")</f>
        <v>Friday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565</v>
      </c>
      <c r="C494" t="s">
        <v>51</v>
      </c>
      <c r="D494">
        <v>63</v>
      </c>
      <c r="E494" s="17" t="s">
        <v>37</v>
      </c>
      <c r="F494" s="18">
        <v>45800</v>
      </c>
      <c r="G494">
        <v>80</v>
      </c>
      <c r="H494">
        <v>2.5</v>
      </c>
      <c r="I494">
        <f>IF(MONTH(calls[[#This Row],[Date of Call]])&lt;=6, YEAR(calls[[#This Row],[Date of Call]]), YEAR(calls[[#This Row],[Date of Call]])+1)</f>
        <v>2025</v>
      </c>
      <c r="J494" t="str">
        <f>TEXT(calls[[#This Row],[Date of Call]],"DDDD")</f>
        <v>Friday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566</v>
      </c>
      <c r="C495" t="s">
        <v>52</v>
      </c>
      <c r="D495">
        <v>59</v>
      </c>
      <c r="E495" s="17" t="s">
        <v>38</v>
      </c>
      <c r="F495" s="18">
        <v>45801</v>
      </c>
      <c r="G495">
        <v>123</v>
      </c>
      <c r="H495">
        <v>3.6</v>
      </c>
      <c r="I495">
        <f>IF(MONTH(calls[[#This Row],[Date of Call]])&lt;=6, YEAR(calls[[#This Row],[Date of Call]]), YEAR(calls[[#This Row],[Date of Call]])+1)</f>
        <v>2025</v>
      </c>
      <c r="J495" t="str">
        <f>TEXT(calls[[#This Row],[Date of Call]],"DDDD")</f>
        <v>Saturday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567</v>
      </c>
      <c r="C496" t="s">
        <v>57</v>
      </c>
      <c r="D496">
        <v>133</v>
      </c>
      <c r="E496" s="17" t="s">
        <v>36</v>
      </c>
      <c r="F496" s="18">
        <v>45801</v>
      </c>
      <c r="G496">
        <v>31</v>
      </c>
      <c r="H496">
        <v>3.7</v>
      </c>
      <c r="I496">
        <f>IF(MONTH(calls[[#This Row],[Date of Call]])&lt;=6, YEAR(calls[[#This Row],[Date of Call]]), YEAR(calls[[#This Row],[Date of Call]])+1)</f>
        <v>2025</v>
      </c>
      <c r="J496" t="str">
        <f>TEXT(calls[[#This Row],[Date of Call]],"DDDD")</f>
        <v>Saturday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568</v>
      </c>
      <c r="C497" t="s">
        <v>55</v>
      </c>
      <c r="D497">
        <v>101</v>
      </c>
      <c r="E497" s="17" t="s">
        <v>35</v>
      </c>
      <c r="F497" s="18">
        <v>45801</v>
      </c>
      <c r="G497">
        <v>205</v>
      </c>
      <c r="H497">
        <v>3.9</v>
      </c>
      <c r="I497">
        <f>IF(MONTH(calls[[#This Row],[Date of Call]])&lt;=6, YEAR(calls[[#This Row],[Date of Call]]), YEAR(calls[[#This Row],[Date of Call]])+1)</f>
        <v>2025</v>
      </c>
      <c r="J497" t="str">
        <f>TEXT(calls[[#This Row],[Date of Call]],"DDDD")</f>
        <v>Saturday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569</v>
      </c>
      <c r="C498" t="s">
        <v>53</v>
      </c>
      <c r="D498">
        <v>151</v>
      </c>
      <c r="E498" s="17" t="s">
        <v>37</v>
      </c>
      <c r="F498" s="18">
        <v>45802</v>
      </c>
      <c r="G498">
        <v>123</v>
      </c>
      <c r="H498">
        <v>3.7</v>
      </c>
      <c r="I498">
        <f>IF(MONTH(calls[[#This Row],[Date of Call]])&lt;=6, YEAR(calls[[#This Row],[Date of Call]]), YEAR(calls[[#This Row],[Date of Call]])+1)</f>
        <v>2025</v>
      </c>
      <c r="J498" t="str">
        <f>TEXT(calls[[#This Row],[Date of Call]],"DDDD")</f>
        <v>Sunday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570</v>
      </c>
      <c r="C499" t="s">
        <v>47</v>
      </c>
      <c r="D499">
        <v>146</v>
      </c>
      <c r="E499" s="17" t="s">
        <v>36</v>
      </c>
      <c r="F499" s="18">
        <v>45802</v>
      </c>
      <c r="G499">
        <v>123</v>
      </c>
      <c r="H499">
        <v>4.3</v>
      </c>
      <c r="I499">
        <f>IF(MONTH(calls[[#This Row],[Date of Call]])&lt;=6, YEAR(calls[[#This Row],[Date of Call]]), YEAR(calls[[#This Row],[Date of Call]])+1)</f>
        <v>2025</v>
      </c>
      <c r="J499" t="str">
        <f>TEXT(calls[[#This Row],[Date of Call]],"DDDD")</f>
        <v>Sunday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571</v>
      </c>
      <c r="C500" t="s">
        <v>51</v>
      </c>
      <c r="D500">
        <v>148</v>
      </c>
      <c r="E500" s="17" t="s">
        <v>36</v>
      </c>
      <c r="F500" s="18">
        <v>45802</v>
      </c>
      <c r="G500">
        <v>36</v>
      </c>
      <c r="H500">
        <v>2.9</v>
      </c>
      <c r="I500">
        <f>IF(MONTH(calls[[#This Row],[Date of Call]])&lt;=6, YEAR(calls[[#This Row],[Date of Call]]), YEAR(calls[[#This Row],[Date of Call]])+1)</f>
        <v>2025</v>
      </c>
      <c r="J500" t="str">
        <f>TEXT(calls[[#This Row],[Date of Call]],"DDDD")</f>
        <v>Sunday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572</v>
      </c>
      <c r="C501" t="s">
        <v>53</v>
      </c>
      <c r="D501">
        <v>81</v>
      </c>
      <c r="E501" s="17" t="s">
        <v>36</v>
      </c>
      <c r="F501" s="18">
        <v>45802</v>
      </c>
      <c r="G501">
        <v>116</v>
      </c>
      <c r="H501">
        <v>4.3</v>
      </c>
      <c r="I501">
        <f>IF(MONTH(calls[[#This Row],[Date of Call]])&lt;=6, YEAR(calls[[#This Row],[Date of Call]]), YEAR(calls[[#This Row],[Date of Call]])+1)</f>
        <v>2025</v>
      </c>
      <c r="J501" t="str">
        <f>TEXT(calls[[#This Row],[Date of Call]],"DDDD")</f>
        <v>Sunday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573</v>
      </c>
      <c r="C502" t="s">
        <v>58</v>
      </c>
      <c r="D502">
        <v>115</v>
      </c>
      <c r="E502" s="17" t="s">
        <v>36</v>
      </c>
      <c r="F502" s="18">
        <v>45802</v>
      </c>
      <c r="G502">
        <v>40</v>
      </c>
      <c r="H502">
        <v>4.9000000000000004</v>
      </c>
      <c r="I502">
        <f>IF(MONTH(calls[[#This Row],[Date of Call]])&lt;=6, YEAR(calls[[#This Row],[Date of Call]]), YEAR(calls[[#This Row],[Date of Call]])+1)</f>
        <v>2025</v>
      </c>
      <c r="J502" t="str">
        <f>TEXT(calls[[#This Row],[Date of Call]],"DDDD")</f>
        <v>Sunday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574</v>
      </c>
      <c r="C503" t="s">
        <v>58</v>
      </c>
      <c r="D503">
        <v>117</v>
      </c>
      <c r="E503" s="17" t="s">
        <v>37</v>
      </c>
      <c r="F503" s="18">
        <v>45802</v>
      </c>
      <c r="G503">
        <v>40</v>
      </c>
      <c r="H503">
        <v>4</v>
      </c>
      <c r="I503">
        <f>IF(MONTH(calls[[#This Row],[Date of Call]])&lt;=6, YEAR(calls[[#This Row],[Date of Call]]), YEAR(calls[[#This Row],[Date of Call]])+1)</f>
        <v>2025</v>
      </c>
      <c r="J503" t="str">
        <f>TEXT(calls[[#This Row],[Date of Call]],"DDDD")</f>
        <v>Sunday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575</v>
      </c>
      <c r="C504" t="s">
        <v>55</v>
      </c>
      <c r="D504">
        <v>110</v>
      </c>
      <c r="E504" s="17" t="s">
        <v>34</v>
      </c>
      <c r="F504" s="18">
        <v>45803</v>
      </c>
      <c r="G504">
        <v>82</v>
      </c>
      <c r="H504">
        <v>4</v>
      </c>
      <c r="I504">
        <f>IF(MONTH(calls[[#This Row],[Date of Call]])&lt;=6, YEAR(calls[[#This Row],[Date of Call]]), YEAR(calls[[#This Row],[Date of Call]])+1)</f>
        <v>2025</v>
      </c>
      <c r="J504" t="str">
        <f>TEXT(calls[[#This Row],[Date of Call]],"DDDD")</f>
        <v>Monday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576</v>
      </c>
      <c r="C505" t="s">
        <v>49</v>
      </c>
      <c r="D505">
        <v>103</v>
      </c>
      <c r="E505" s="17" t="s">
        <v>38</v>
      </c>
      <c r="F505" s="18">
        <v>45803</v>
      </c>
      <c r="G505">
        <v>62</v>
      </c>
      <c r="H505">
        <v>3.4</v>
      </c>
      <c r="I505">
        <f>IF(MONTH(calls[[#This Row],[Date of Call]])&lt;=6, YEAR(calls[[#This Row],[Date of Call]]), YEAR(calls[[#This Row],[Date of Call]])+1)</f>
        <v>2025</v>
      </c>
      <c r="J505" t="str">
        <f>TEXT(calls[[#This Row],[Date of Call]],"DDDD")</f>
        <v>Monday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577</v>
      </c>
      <c r="C506" t="s">
        <v>59</v>
      </c>
      <c r="D506">
        <v>45</v>
      </c>
      <c r="E506" s="17" t="s">
        <v>38</v>
      </c>
      <c r="F506" s="18">
        <v>45803</v>
      </c>
      <c r="G506">
        <v>135</v>
      </c>
      <c r="H506">
        <v>3.9</v>
      </c>
      <c r="I506">
        <f>IF(MONTH(calls[[#This Row],[Date of Call]])&lt;=6, YEAR(calls[[#This Row],[Date of Call]]), YEAR(calls[[#This Row],[Date of Call]])+1)</f>
        <v>2025</v>
      </c>
      <c r="J506" t="str">
        <f>TEXT(calls[[#This Row],[Date of Call]],"DDDD")</f>
        <v>Monday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578</v>
      </c>
      <c r="C507" t="s">
        <v>55</v>
      </c>
      <c r="D507">
        <v>110</v>
      </c>
      <c r="E507" s="17" t="s">
        <v>35</v>
      </c>
      <c r="F507" s="18">
        <v>45803</v>
      </c>
      <c r="G507">
        <v>155</v>
      </c>
      <c r="H507">
        <v>2.1</v>
      </c>
      <c r="I507">
        <f>IF(MONTH(calls[[#This Row],[Date of Call]])&lt;=6, YEAR(calls[[#This Row],[Date of Call]]), YEAR(calls[[#This Row],[Date of Call]])+1)</f>
        <v>2025</v>
      </c>
      <c r="J507" t="str">
        <f>TEXT(calls[[#This Row],[Date of Call]],"DDDD")</f>
        <v>Monday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579</v>
      </c>
      <c r="C508" t="s">
        <v>52</v>
      </c>
      <c r="D508">
        <v>43</v>
      </c>
      <c r="E508" s="17" t="s">
        <v>34</v>
      </c>
      <c r="F508" s="18">
        <v>45803</v>
      </c>
      <c r="G508">
        <v>37</v>
      </c>
      <c r="H508">
        <v>4.9000000000000004</v>
      </c>
      <c r="I508">
        <f>IF(MONTH(calls[[#This Row],[Date of Call]])&lt;=6, YEAR(calls[[#This Row],[Date of Call]]), YEAR(calls[[#This Row],[Date of Call]])+1)</f>
        <v>2025</v>
      </c>
      <c r="J508" t="str">
        <f>TEXT(calls[[#This Row],[Date of Call]],"DDDD")</f>
        <v>Monday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580</v>
      </c>
      <c r="C509" t="s">
        <v>55</v>
      </c>
      <c r="D509">
        <v>104</v>
      </c>
      <c r="E509" s="17" t="s">
        <v>37</v>
      </c>
      <c r="F509" s="18">
        <v>45804</v>
      </c>
      <c r="G509">
        <v>56</v>
      </c>
      <c r="H509">
        <v>3.4</v>
      </c>
      <c r="I509">
        <f>IF(MONTH(calls[[#This Row],[Date of Call]])&lt;=6, YEAR(calls[[#This Row],[Date of Call]]), YEAR(calls[[#This Row],[Date of Call]])+1)</f>
        <v>2025</v>
      </c>
      <c r="J509" t="str">
        <f>TEXT(calls[[#This Row],[Date of Call]],"DDDD")</f>
        <v>Tuesday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581</v>
      </c>
      <c r="C510" t="s">
        <v>55</v>
      </c>
      <c r="D510">
        <v>101</v>
      </c>
      <c r="E510" s="17" t="s">
        <v>37</v>
      </c>
      <c r="F510" s="18">
        <v>45804</v>
      </c>
      <c r="G510">
        <v>185</v>
      </c>
      <c r="H510">
        <v>5</v>
      </c>
      <c r="I510">
        <f>IF(MONTH(calls[[#This Row],[Date of Call]])&lt;=6, YEAR(calls[[#This Row],[Date of Call]]), YEAR(calls[[#This Row],[Date of Call]])+1)</f>
        <v>2025</v>
      </c>
      <c r="J510" t="str">
        <f>TEXT(calls[[#This Row],[Date of Call]],"DDDD")</f>
        <v>Tuesday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582</v>
      </c>
      <c r="C511" t="s">
        <v>45</v>
      </c>
      <c r="D511">
        <v>55</v>
      </c>
      <c r="E511" s="17" t="s">
        <v>34</v>
      </c>
      <c r="F511" s="18">
        <v>45805</v>
      </c>
      <c r="G511">
        <v>145</v>
      </c>
      <c r="H511">
        <v>4.5</v>
      </c>
      <c r="I511">
        <f>IF(MONTH(calls[[#This Row],[Date of Call]])&lt;=6, YEAR(calls[[#This Row],[Date of Call]]), YEAR(calls[[#This Row],[Date of Call]])+1)</f>
        <v>2025</v>
      </c>
      <c r="J511" t="str">
        <f>TEXT(calls[[#This Row],[Date of Call]],"DDDD")</f>
        <v>Wednesday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583</v>
      </c>
      <c r="C512" t="s">
        <v>53</v>
      </c>
      <c r="D512">
        <v>40</v>
      </c>
      <c r="E512" s="17" t="s">
        <v>38</v>
      </c>
      <c r="F512" s="18">
        <v>45805</v>
      </c>
      <c r="G512">
        <v>116</v>
      </c>
      <c r="H512">
        <v>2.6</v>
      </c>
      <c r="I512">
        <f>IF(MONTH(calls[[#This Row],[Date of Call]])&lt;=6, YEAR(calls[[#This Row],[Date of Call]]), YEAR(calls[[#This Row],[Date of Call]])+1)</f>
        <v>2025</v>
      </c>
      <c r="J512" t="str">
        <f>TEXT(calls[[#This Row],[Date of Call]],"DDDD")</f>
        <v>Wednesday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584</v>
      </c>
      <c r="C513" t="s">
        <v>52</v>
      </c>
      <c r="D513">
        <v>122</v>
      </c>
      <c r="E513" s="17" t="s">
        <v>36</v>
      </c>
      <c r="F513" s="18">
        <v>45805</v>
      </c>
      <c r="G513">
        <v>45</v>
      </c>
      <c r="H513">
        <v>4.2</v>
      </c>
      <c r="I513">
        <f>IF(MONTH(calls[[#This Row],[Date of Call]])&lt;=6, YEAR(calls[[#This Row],[Date of Call]]), YEAR(calls[[#This Row],[Date of Call]])+1)</f>
        <v>2025</v>
      </c>
      <c r="J513" t="str">
        <f>TEXT(calls[[#This Row],[Date of Call]],"DDDD")</f>
        <v>Wednesday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585</v>
      </c>
      <c r="C514" t="s">
        <v>47</v>
      </c>
      <c r="D514">
        <v>98</v>
      </c>
      <c r="E514" s="17" t="s">
        <v>37</v>
      </c>
      <c r="F514" s="18">
        <v>45806</v>
      </c>
      <c r="G514">
        <v>35</v>
      </c>
      <c r="H514">
        <v>4.5</v>
      </c>
      <c r="I514">
        <f>IF(MONTH(calls[[#This Row],[Date of Call]])&lt;=6, YEAR(calls[[#This Row],[Date of Call]]), YEAR(calls[[#This Row],[Date of Call]])+1)</f>
        <v>2025</v>
      </c>
      <c r="J514" t="str">
        <f>TEXT(calls[[#This Row],[Date of Call]],"DDDD")</f>
        <v>Thursday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586</v>
      </c>
      <c r="C515" t="s">
        <v>58</v>
      </c>
      <c r="D515">
        <v>110</v>
      </c>
      <c r="E515" s="17" t="s">
        <v>38</v>
      </c>
      <c r="F515" s="18">
        <v>45806</v>
      </c>
      <c r="G515">
        <v>100</v>
      </c>
      <c r="H515">
        <v>4.4000000000000004</v>
      </c>
      <c r="I515">
        <f>IF(MONTH(calls[[#This Row],[Date of Call]])&lt;=6, YEAR(calls[[#This Row],[Date of Call]]), YEAR(calls[[#This Row],[Date of Call]])+1)</f>
        <v>2025</v>
      </c>
      <c r="J515" t="str">
        <f>TEXT(calls[[#This Row],[Date of Call]],"DDDD")</f>
        <v>Thursday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587</v>
      </c>
      <c r="C516" t="s">
        <v>58</v>
      </c>
      <c r="D516">
        <v>62</v>
      </c>
      <c r="E516" s="17" t="s">
        <v>34</v>
      </c>
      <c r="F516" s="18">
        <v>45807</v>
      </c>
      <c r="G516">
        <v>125</v>
      </c>
      <c r="H516">
        <v>3.5</v>
      </c>
      <c r="I516">
        <f>IF(MONTH(calls[[#This Row],[Date of Call]])&lt;=6, YEAR(calls[[#This Row],[Date of Call]]), YEAR(calls[[#This Row],[Date of Call]])+1)</f>
        <v>2025</v>
      </c>
      <c r="J516" t="str">
        <f>TEXT(calls[[#This Row],[Date of Call]],"DDDD")</f>
        <v>Friday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588</v>
      </c>
      <c r="C517" t="s">
        <v>52</v>
      </c>
      <c r="D517">
        <v>134</v>
      </c>
      <c r="E517" s="17" t="s">
        <v>36</v>
      </c>
      <c r="F517" s="18">
        <v>45807</v>
      </c>
      <c r="G517">
        <v>120</v>
      </c>
      <c r="H517">
        <v>3</v>
      </c>
      <c r="I517">
        <f>IF(MONTH(calls[[#This Row],[Date of Call]])&lt;=6, YEAR(calls[[#This Row],[Date of Call]]), YEAR(calls[[#This Row],[Date of Call]])+1)</f>
        <v>2025</v>
      </c>
      <c r="J517" t="str">
        <f>TEXT(calls[[#This Row],[Date of Call]],"DDDD")</f>
        <v>Friday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589</v>
      </c>
      <c r="C518" t="s">
        <v>54</v>
      </c>
      <c r="D518">
        <v>94</v>
      </c>
      <c r="E518" s="17" t="s">
        <v>35</v>
      </c>
      <c r="F518" s="18">
        <v>45807</v>
      </c>
      <c r="G518">
        <v>180</v>
      </c>
      <c r="H518">
        <v>4.7</v>
      </c>
      <c r="I518">
        <f>IF(MONTH(calls[[#This Row],[Date of Call]])&lt;=6, YEAR(calls[[#This Row],[Date of Call]]), YEAR(calls[[#This Row],[Date of Call]])+1)</f>
        <v>2025</v>
      </c>
      <c r="J518" t="str">
        <f>TEXT(calls[[#This Row],[Date of Call]],"DDDD")</f>
        <v>Friday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590</v>
      </c>
      <c r="C519" t="s">
        <v>50</v>
      </c>
      <c r="D519">
        <v>63</v>
      </c>
      <c r="E519" s="17" t="s">
        <v>38</v>
      </c>
      <c r="F519" s="18">
        <v>45807</v>
      </c>
      <c r="G519">
        <v>44</v>
      </c>
      <c r="H519">
        <v>3</v>
      </c>
      <c r="I519">
        <f>IF(MONTH(calls[[#This Row],[Date of Call]])&lt;=6, YEAR(calls[[#This Row],[Date of Call]]), YEAR(calls[[#This Row],[Date of Call]])+1)</f>
        <v>2025</v>
      </c>
      <c r="J519" t="str">
        <f>TEXT(calls[[#This Row],[Date of Call]],"DDDD")</f>
        <v>Friday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591</v>
      </c>
      <c r="C520" t="s">
        <v>57</v>
      </c>
      <c r="D520">
        <v>95</v>
      </c>
      <c r="E520" s="17" t="s">
        <v>36</v>
      </c>
      <c r="F520" s="18">
        <v>45807</v>
      </c>
      <c r="G520">
        <v>86</v>
      </c>
      <c r="H520">
        <v>3.6</v>
      </c>
      <c r="I520">
        <f>IF(MONTH(calls[[#This Row],[Date of Call]])&lt;=6, YEAR(calls[[#This Row],[Date of Call]]), YEAR(calls[[#This Row],[Date of Call]])+1)</f>
        <v>2025</v>
      </c>
      <c r="J520" t="str">
        <f>TEXT(calls[[#This Row],[Date of Call]],"DDDD")</f>
        <v>Friday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592</v>
      </c>
      <c r="C521" t="s">
        <v>52</v>
      </c>
      <c r="D521">
        <v>106</v>
      </c>
      <c r="E521" s="17" t="s">
        <v>36</v>
      </c>
      <c r="F521" s="18">
        <v>45808</v>
      </c>
      <c r="G521">
        <v>120</v>
      </c>
      <c r="H521">
        <v>4.0999999999999996</v>
      </c>
      <c r="I521">
        <f>IF(MONTH(calls[[#This Row],[Date of Call]])&lt;=6, YEAR(calls[[#This Row],[Date of Call]]), YEAR(calls[[#This Row],[Date of Call]])+1)</f>
        <v>2025</v>
      </c>
      <c r="J521" t="str">
        <f>TEXT(calls[[#This Row],[Date of Call]],"DDDD")</f>
        <v>Saturday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593</v>
      </c>
      <c r="C522" t="s">
        <v>59</v>
      </c>
      <c r="D522">
        <v>94</v>
      </c>
      <c r="E522" s="17" t="s">
        <v>35</v>
      </c>
      <c r="F522" s="18">
        <v>45808</v>
      </c>
      <c r="G522">
        <v>100</v>
      </c>
      <c r="H522">
        <v>3.7</v>
      </c>
      <c r="I522">
        <f>IF(MONTH(calls[[#This Row],[Date of Call]])&lt;=6, YEAR(calls[[#This Row],[Date of Call]]), YEAR(calls[[#This Row],[Date of Call]])+1)</f>
        <v>2025</v>
      </c>
      <c r="J522" t="str">
        <f>TEXT(calls[[#This Row],[Date of Call]],"DDDD")</f>
        <v>Saturday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594</v>
      </c>
      <c r="C523" t="s">
        <v>59</v>
      </c>
      <c r="D523">
        <v>51</v>
      </c>
      <c r="E523" s="17" t="s">
        <v>35</v>
      </c>
      <c r="F523" s="18">
        <v>45809</v>
      </c>
      <c r="G523">
        <v>108</v>
      </c>
      <c r="H523">
        <v>4.5</v>
      </c>
      <c r="I523">
        <f>IF(MONTH(calls[[#This Row],[Date of Call]])&lt;=6, YEAR(calls[[#This Row],[Date of Call]]), YEAR(calls[[#This Row],[Date of Call]])+1)</f>
        <v>2025</v>
      </c>
      <c r="J523" t="str">
        <f>TEXT(calls[[#This Row],[Date of Call]],"DDDD")</f>
        <v>Sunday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595</v>
      </c>
      <c r="C524" t="s">
        <v>51</v>
      </c>
      <c r="D524">
        <v>39</v>
      </c>
      <c r="E524" s="17" t="s">
        <v>35</v>
      </c>
      <c r="F524" s="18">
        <v>45809</v>
      </c>
      <c r="G524">
        <v>46</v>
      </c>
      <c r="H524">
        <v>4.5999999999999996</v>
      </c>
      <c r="I524">
        <f>IF(MONTH(calls[[#This Row],[Date of Call]])&lt;=6, YEAR(calls[[#This Row],[Date of Call]]), YEAR(calls[[#This Row],[Date of Call]])+1)</f>
        <v>2025</v>
      </c>
      <c r="J524" t="str">
        <f>TEXT(calls[[#This Row],[Date of Call]],"DDDD")</f>
        <v>Sunday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596</v>
      </c>
      <c r="C525" t="s">
        <v>53</v>
      </c>
      <c r="D525">
        <v>111</v>
      </c>
      <c r="E525" s="17" t="s">
        <v>36</v>
      </c>
      <c r="F525" s="18">
        <v>45809</v>
      </c>
      <c r="G525">
        <v>210</v>
      </c>
      <c r="H525">
        <v>4.3</v>
      </c>
      <c r="I525">
        <f>IF(MONTH(calls[[#This Row],[Date of Call]])&lt;=6, YEAR(calls[[#This Row],[Date of Call]]), YEAR(calls[[#This Row],[Date of Call]])+1)</f>
        <v>2025</v>
      </c>
      <c r="J525" t="str">
        <f>TEXT(calls[[#This Row],[Date of Call]],"DDDD")</f>
        <v>Sunday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597</v>
      </c>
      <c r="C526" t="s">
        <v>48</v>
      </c>
      <c r="D526">
        <v>141</v>
      </c>
      <c r="E526" s="17" t="s">
        <v>34</v>
      </c>
      <c r="F526" s="18">
        <v>45811</v>
      </c>
      <c r="G526">
        <v>54</v>
      </c>
      <c r="H526">
        <v>4.8</v>
      </c>
      <c r="I526">
        <f>IF(MONTH(calls[[#This Row],[Date of Call]])&lt;=6, YEAR(calls[[#This Row],[Date of Call]]), YEAR(calls[[#This Row],[Date of Call]])+1)</f>
        <v>2025</v>
      </c>
      <c r="J526" t="str">
        <f>TEXT(calls[[#This Row],[Date of Call]],"DDDD")</f>
        <v>Tuesday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598</v>
      </c>
      <c r="C527" t="s">
        <v>50</v>
      </c>
      <c r="D527">
        <v>147</v>
      </c>
      <c r="E527" s="17" t="s">
        <v>36</v>
      </c>
      <c r="F527" s="18">
        <v>45811</v>
      </c>
      <c r="G527">
        <v>115</v>
      </c>
      <c r="H527">
        <v>4.7</v>
      </c>
      <c r="I527">
        <f>IF(MONTH(calls[[#This Row],[Date of Call]])&lt;=6, YEAR(calls[[#This Row],[Date of Call]]), YEAR(calls[[#This Row],[Date of Call]])+1)</f>
        <v>2025</v>
      </c>
      <c r="J527" t="str">
        <f>TEXT(calls[[#This Row],[Date of Call]],"DDDD")</f>
        <v>Tuesday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599</v>
      </c>
      <c r="C528" t="s">
        <v>54</v>
      </c>
      <c r="D528">
        <v>49</v>
      </c>
      <c r="E528" s="17" t="s">
        <v>35</v>
      </c>
      <c r="F528" s="18">
        <v>45812</v>
      </c>
      <c r="G528">
        <v>100</v>
      </c>
      <c r="H528">
        <v>2.2000000000000002</v>
      </c>
      <c r="I528">
        <f>IF(MONTH(calls[[#This Row],[Date of Call]])&lt;=6, YEAR(calls[[#This Row],[Date of Call]]), YEAR(calls[[#This Row],[Date of Call]])+1)</f>
        <v>2025</v>
      </c>
      <c r="J528" t="str">
        <f>TEXT(calls[[#This Row],[Date of Call]],"DDDD")</f>
        <v>Wednesday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600</v>
      </c>
      <c r="C529" t="s">
        <v>56</v>
      </c>
      <c r="D529">
        <v>75</v>
      </c>
      <c r="E529" s="17" t="s">
        <v>36</v>
      </c>
      <c r="F529" s="18">
        <v>45812</v>
      </c>
      <c r="G529">
        <v>38</v>
      </c>
      <c r="H529">
        <v>4.4000000000000004</v>
      </c>
      <c r="I529">
        <f>IF(MONTH(calls[[#This Row],[Date of Call]])&lt;=6, YEAR(calls[[#This Row],[Date of Call]]), YEAR(calls[[#This Row],[Date of Call]])+1)</f>
        <v>2025</v>
      </c>
      <c r="J529" t="str">
        <f>TEXT(calls[[#This Row],[Date of Call]],"DDDD")</f>
        <v>Wednesday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601</v>
      </c>
      <c r="C530" t="s">
        <v>48</v>
      </c>
      <c r="D530">
        <v>48</v>
      </c>
      <c r="E530" s="17" t="s">
        <v>34</v>
      </c>
      <c r="F530" s="18">
        <v>45813</v>
      </c>
      <c r="G530">
        <v>120</v>
      </c>
      <c r="H530">
        <v>4.0999999999999996</v>
      </c>
      <c r="I530">
        <f>IF(MONTH(calls[[#This Row],[Date of Call]])&lt;=6, YEAR(calls[[#This Row],[Date of Call]]), YEAR(calls[[#This Row],[Date of Call]])+1)</f>
        <v>2025</v>
      </c>
      <c r="J530" t="str">
        <f>TEXT(calls[[#This Row],[Date of Call]],"DDDD")</f>
        <v>Thursday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602</v>
      </c>
      <c r="C531" t="s">
        <v>58</v>
      </c>
      <c r="D531">
        <v>48</v>
      </c>
      <c r="E531" s="17" t="s">
        <v>34</v>
      </c>
      <c r="F531" s="18">
        <v>45813</v>
      </c>
      <c r="G531">
        <v>120</v>
      </c>
      <c r="H531">
        <v>4.0999999999999996</v>
      </c>
      <c r="I531">
        <f>IF(MONTH(calls[[#This Row],[Date of Call]])&lt;=6, YEAR(calls[[#This Row],[Date of Call]]), YEAR(calls[[#This Row],[Date of Call]])+1)</f>
        <v>2025</v>
      </c>
      <c r="J531" t="str">
        <f>TEXT(calls[[#This Row],[Date of Call]],"DDDD")</f>
        <v>Thursday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603</v>
      </c>
      <c r="C532" t="s">
        <v>46</v>
      </c>
      <c r="D532">
        <v>138</v>
      </c>
      <c r="E532" s="17" t="s">
        <v>35</v>
      </c>
      <c r="F532" s="18">
        <v>45813</v>
      </c>
      <c r="G532">
        <v>29</v>
      </c>
      <c r="H532">
        <v>4.4000000000000004</v>
      </c>
      <c r="I532">
        <f>IF(MONTH(calls[[#This Row],[Date of Call]])&lt;=6, YEAR(calls[[#This Row],[Date of Call]]), YEAR(calls[[#This Row],[Date of Call]])+1)</f>
        <v>2025</v>
      </c>
      <c r="J532" t="str">
        <f>TEXT(calls[[#This Row],[Date of Call]],"DDDD")</f>
        <v>Thursday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604</v>
      </c>
      <c r="C533" t="s">
        <v>57</v>
      </c>
      <c r="D533">
        <v>144</v>
      </c>
      <c r="E533" s="17" t="s">
        <v>35</v>
      </c>
      <c r="F533" s="18">
        <v>45814</v>
      </c>
      <c r="G533">
        <v>25</v>
      </c>
      <c r="H533">
        <v>3.7</v>
      </c>
      <c r="I533">
        <f>IF(MONTH(calls[[#This Row],[Date of Call]])&lt;=6, YEAR(calls[[#This Row],[Date of Call]]), YEAR(calls[[#This Row],[Date of Call]])+1)</f>
        <v>2025</v>
      </c>
      <c r="J533" t="str">
        <f>TEXT(calls[[#This Row],[Date of Call]],"DDDD")</f>
        <v>Friday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605</v>
      </c>
      <c r="C534" t="s">
        <v>55</v>
      </c>
      <c r="D534">
        <v>119</v>
      </c>
      <c r="E534" s="17" t="s">
        <v>36</v>
      </c>
      <c r="F534" s="18">
        <v>45815</v>
      </c>
      <c r="G534">
        <v>116</v>
      </c>
      <c r="H534">
        <v>3.8</v>
      </c>
      <c r="I534">
        <f>IF(MONTH(calls[[#This Row],[Date of Call]])&lt;=6, YEAR(calls[[#This Row],[Date of Call]]), YEAR(calls[[#This Row],[Date of Call]])+1)</f>
        <v>2025</v>
      </c>
      <c r="J534" t="str">
        <f>TEXT(calls[[#This Row],[Date of Call]],"DDDD")</f>
        <v>Saturday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606</v>
      </c>
      <c r="C535" t="s">
        <v>46</v>
      </c>
      <c r="D535">
        <v>101</v>
      </c>
      <c r="E535" s="17" t="s">
        <v>34</v>
      </c>
      <c r="F535" s="18">
        <v>45816</v>
      </c>
      <c r="G535">
        <v>132</v>
      </c>
      <c r="H535">
        <v>4.3</v>
      </c>
      <c r="I535">
        <f>IF(MONTH(calls[[#This Row],[Date of Call]])&lt;=6, YEAR(calls[[#This Row],[Date of Call]]), YEAR(calls[[#This Row],[Date of Call]])+1)</f>
        <v>2025</v>
      </c>
      <c r="J535" t="str">
        <f>TEXT(calls[[#This Row],[Date of Call]],"DDDD")</f>
        <v>Sunday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607</v>
      </c>
      <c r="C536" t="s">
        <v>57</v>
      </c>
      <c r="D536">
        <v>59</v>
      </c>
      <c r="E536" s="17" t="s">
        <v>36</v>
      </c>
      <c r="F536" s="18">
        <v>45817</v>
      </c>
      <c r="G536">
        <v>90</v>
      </c>
      <c r="H536">
        <v>3.5</v>
      </c>
      <c r="I536">
        <f>IF(MONTH(calls[[#This Row],[Date of Call]])&lt;=6, YEAR(calls[[#This Row],[Date of Call]]), YEAR(calls[[#This Row],[Date of Call]])+1)</f>
        <v>2025</v>
      </c>
      <c r="J536" t="str">
        <f>TEXT(calls[[#This Row],[Date of Call]],"DDDD")</f>
        <v>Monday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608</v>
      </c>
      <c r="C537" t="s">
        <v>53</v>
      </c>
      <c r="D537">
        <v>125</v>
      </c>
      <c r="E537" s="17" t="s">
        <v>38</v>
      </c>
      <c r="F537" s="18">
        <v>45817</v>
      </c>
      <c r="G537">
        <v>87</v>
      </c>
      <c r="H537">
        <v>4.0999999999999996</v>
      </c>
      <c r="I537">
        <f>IF(MONTH(calls[[#This Row],[Date of Call]])&lt;=6, YEAR(calls[[#This Row],[Date of Call]]), YEAR(calls[[#This Row],[Date of Call]])+1)</f>
        <v>2025</v>
      </c>
      <c r="J537" t="str">
        <f>TEXT(calls[[#This Row],[Date of Call]],"DDDD")</f>
        <v>Monday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609</v>
      </c>
      <c r="C538" t="s">
        <v>52</v>
      </c>
      <c r="D538">
        <v>147</v>
      </c>
      <c r="E538" s="17" t="s">
        <v>36</v>
      </c>
      <c r="F538" s="18">
        <v>45817</v>
      </c>
      <c r="G538">
        <v>140</v>
      </c>
      <c r="H538">
        <v>4.2</v>
      </c>
      <c r="I538">
        <f>IF(MONTH(calls[[#This Row],[Date of Call]])&lt;=6, YEAR(calls[[#This Row],[Date of Call]]), YEAR(calls[[#This Row],[Date of Call]])+1)</f>
        <v>2025</v>
      </c>
      <c r="J538" t="str">
        <f>TEXT(calls[[#This Row],[Date of Call]],"DDDD")</f>
        <v>Monday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610</v>
      </c>
      <c r="C539" t="s">
        <v>49</v>
      </c>
      <c r="D539">
        <v>76</v>
      </c>
      <c r="E539" s="17" t="s">
        <v>36</v>
      </c>
      <c r="F539" s="18">
        <v>45817</v>
      </c>
      <c r="G539">
        <v>164</v>
      </c>
      <c r="H539">
        <v>4.5</v>
      </c>
      <c r="I539">
        <f>IF(MONTH(calls[[#This Row],[Date of Call]])&lt;=6, YEAR(calls[[#This Row],[Date of Call]]), YEAR(calls[[#This Row],[Date of Call]])+1)</f>
        <v>2025</v>
      </c>
      <c r="J539" t="str">
        <f>TEXT(calls[[#This Row],[Date of Call]],"DDDD")</f>
        <v>Monday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611</v>
      </c>
      <c r="C540" t="s">
        <v>50</v>
      </c>
      <c r="D540">
        <v>99</v>
      </c>
      <c r="E540" s="17" t="s">
        <v>34</v>
      </c>
      <c r="F540" s="18">
        <v>45818</v>
      </c>
      <c r="G540">
        <v>180</v>
      </c>
      <c r="H540">
        <v>3.8</v>
      </c>
      <c r="I540">
        <f>IF(MONTH(calls[[#This Row],[Date of Call]])&lt;=6, YEAR(calls[[#This Row],[Date of Call]]), YEAR(calls[[#This Row],[Date of Call]])+1)</f>
        <v>2025</v>
      </c>
      <c r="J540" t="str">
        <f>TEXT(calls[[#This Row],[Date of Call]],"DDDD")</f>
        <v>Tuesday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612</v>
      </c>
      <c r="C541" t="s">
        <v>51</v>
      </c>
      <c r="D541">
        <v>111</v>
      </c>
      <c r="E541" s="17" t="s">
        <v>37</v>
      </c>
      <c r="F541" s="18">
        <v>45819</v>
      </c>
      <c r="G541">
        <v>22</v>
      </c>
      <c r="H541">
        <v>4.0999999999999996</v>
      </c>
      <c r="I541">
        <f>IF(MONTH(calls[[#This Row],[Date of Call]])&lt;=6, YEAR(calls[[#This Row],[Date of Call]]), YEAR(calls[[#This Row],[Date of Call]])+1)</f>
        <v>2025</v>
      </c>
      <c r="J541" t="str">
        <f>TEXT(calls[[#This Row],[Date of Call]],"DDDD")</f>
        <v>Wednesday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613</v>
      </c>
      <c r="C542" t="s">
        <v>47</v>
      </c>
      <c r="D542">
        <v>147</v>
      </c>
      <c r="E542" s="17" t="s">
        <v>38</v>
      </c>
      <c r="F542" s="18">
        <v>45819</v>
      </c>
      <c r="G542">
        <v>82</v>
      </c>
      <c r="H542">
        <v>4.4000000000000004</v>
      </c>
      <c r="I542">
        <f>IF(MONTH(calls[[#This Row],[Date of Call]])&lt;=6, YEAR(calls[[#This Row],[Date of Call]]), YEAR(calls[[#This Row],[Date of Call]])+1)</f>
        <v>2025</v>
      </c>
      <c r="J542" t="str">
        <f>TEXT(calls[[#This Row],[Date of Call]],"DDDD")</f>
        <v>Wednesday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614</v>
      </c>
      <c r="C543" t="s">
        <v>45</v>
      </c>
      <c r="D543">
        <v>141</v>
      </c>
      <c r="E543" s="17" t="s">
        <v>34</v>
      </c>
      <c r="F543" s="18">
        <v>45819</v>
      </c>
      <c r="G543">
        <v>100</v>
      </c>
      <c r="H543">
        <v>4.5999999999999996</v>
      </c>
      <c r="I543">
        <f>IF(MONTH(calls[[#This Row],[Date of Call]])&lt;=6, YEAR(calls[[#This Row],[Date of Call]]), YEAR(calls[[#This Row],[Date of Call]])+1)</f>
        <v>2025</v>
      </c>
      <c r="J543" t="str">
        <f>TEXT(calls[[#This Row],[Date of Call]],"DDDD")</f>
        <v>Wednesday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615</v>
      </c>
      <c r="C544" t="s">
        <v>49</v>
      </c>
      <c r="D544">
        <v>71</v>
      </c>
      <c r="E544" s="17" t="s">
        <v>36</v>
      </c>
      <c r="F544" s="18">
        <v>45820</v>
      </c>
      <c r="G544">
        <v>52</v>
      </c>
      <c r="H544">
        <v>3.4</v>
      </c>
      <c r="I544">
        <f>IF(MONTH(calls[[#This Row],[Date of Call]])&lt;=6, YEAR(calls[[#This Row],[Date of Call]]), YEAR(calls[[#This Row],[Date of Call]])+1)</f>
        <v>2025</v>
      </c>
      <c r="J544" t="str">
        <f>TEXT(calls[[#This Row],[Date of Call]],"DDDD")</f>
        <v>Thursday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616</v>
      </c>
      <c r="C545" t="s">
        <v>49</v>
      </c>
      <c r="D545">
        <v>121</v>
      </c>
      <c r="E545" s="17" t="s">
        <v>38</v>
      </c>
      <c r="F545" s="18">
        <v>45821</v>
      </c>
      <c r="G545">
        <v>84</v>
      </c>
      <c r="H545">
        <v>4.5999999999999996</v>
      </c>
      <c r="I545">
        <f>IF(MONTH(calls[[#This Row],[Date of Call]])&lt;=6, YEAR(calls[[#This Row],[Date of Call]]), YEAR(calls[[#This Row],[Date of Call]])+1)</f>
        <v>2025</v>
      </c>
      <c r="J545" t="str">
        <f>TEXT(calls[[#This Row],[Date of Call]],"DDDD")</f>
        <v>Friday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617</v>
      </c>
      <c r="C546" t="s">
        <v>49</v>
      </c>
      <c r="D546">
        <v>60</v>
      </c>
      <c r="E546" s="17" t="s">
        <v>38</v>
      </c>
      <c r="F546" s="18">
        <v>45821</v>
      </c>
      <c r="G546">
        <v>37</v>
      </c>
      <c r="H546">
        <v>3.9</v>
      </c>
      <c r="I546">
        <f>IF(MONTH(calls[[#This Row],[Date of Call]])&lt;=6, YEAR(calls[[#This Row],[Date of Call]]), YEAR(calls[[#This Row],[Date of Call]])+1)</f>
        <v>2025</v>
      </c>
      <c r="J546" t="str">
        <f>TEXT(calls[[#This Row],[Date of Call]],"DDDD")</f>
        <v>Friday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618</v>
      </c>
      <c r="C547" t="s">
        <v>54</v>
      </c>
      <c r="D547">
        <v>158</v>
      </c>
      <c r="E547" s="17" t="s">
        <v>34</v>
      </c>
      <c r="F547" s="18">
        <v>45822</v>
      </c>
      <c r="G547">
        <v>190</v>
      </c>
      <c r="H547">
        <v>4</v>
      </c>
      <c r="I547">
        <f>IF(MONTH(calls[[#This Row],[Date of Call]])&lt;=6, YEAR(calls[[#This Row],[Date of Call]]), YEAR(calls[[#This Row],[Date of Call]])+1)</f>
        <v>2025</v>
      </c>
      <c r="J547" t="str">
        <f>TEXT(calls[[#This Row],[Date of Call]],"DDDD")</f>
        <v>Saturday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619</v>
      </c>
      <c r="C548" t="s">
        <v>52</v>
      </c>
      <c r="D548">
        <v>159</v>
      </c>
      <c r="E548" s="17" t="s">
        <v>35</v>
      </c>
      <c r="F548" s="18">
        <v>45822</v>
      </c>
      <c r="G548">
        <v>66</v>
      </c>
      <c r="H548">
        <v>3.4</v>
      </c>
      <c r="I548">
        <f>IF(MONTH(calls[[#This Row],[Date of Call]])&lt;=6, YEAR(calls[[#This Row],[Date of Call]]), YEAR(calls[[#This Row],[Date of Call]])+1)</f>
        <v>2025</v>
      </c>
      <c r="J548" t="str">
        <f>TEXT(calls[[#This Row],[Date of Call]],"DDDD")</f>
        <v>Saturday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620</v>
      </c>
      <c r="C549" t="s">
        <v>46</v>
      </c>
      <c r="D549">
        <v>70</v>
      </c>
      <c r="E549" s="17" t="s">
        <v>36</v>
      </c>
      <c r="F549" s="18">
        <v>45823</v>
      </c>
      <c r="G549">
        <v>116</v>
      </c>
      <c r="H549">
        <v>3.2</v>
      </c>
      <c r="I549">
        <f>IF(MONTH(calls[[#This Row],[Date of Call]])&lt;=6, YEAR(calls[[#This Row],[Date of Call]]), YEAR(calls[[#This Row],[Date of Call]])+1)</f>
        <v>2025</v>
      </c>
      <c r="J549" t="str">
        <f>TEXT(calls[[#This Row],[Date of Call]],"DDDD")</f>
        <v>Sunday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621</v>
      </c>
      <c r="C550" t="s">
        <v>48</v>
      </c>
      <c r="D550">
        <v>78</v>
      </c>
      <c r="E550" s="17" t="s">
        <v>37</v>
      </c>
      <c r="F550" s="18">
        <v>45823</v>
      </c>
      <c r="G550">
        <v>28</v>
      </c>
      <c r="H550">
        <v>3.9</v>
      </c>
      <c r="I550">
        <f>IF(MONTH(calls[[#This Row],[Date of Call]])&lt;=6, YEAR(calls[[#This Row],[Date of Call]]), YEAR(calls[[#This Row],[Date of Call]])+1)</f>
        <v>2025</v>
      </c>
      <c r="J550" t="str">
        <f>TEXT(calls[[#This Row],[Date of Call]],"DDDD")</f>
        <v>Sunday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622</v>
      </c>
      <c r="C551" t="s">
        <v>47</v>
      </c>
      <c r="D551">
        <v>103</v>
      </c>
      <c r="E551" s="17" t="s">
        <v>36</v>
      </c>
      <c r="F551" s="18">
        <v>45823</v>
      </c>
      <c r="G551">
        <v>120</v>
      </c>
      <c r="H551">
        <v>5</v>
      </c>
      <c r="I551">
        <f>IF(MONTH(calls[[#This Row],[Date of Call]])&lt;=6, YEAR(calls[[#This Row],[Date of Call]]), YEAR(calls[[#This Row],[Date of Call]])+1)</f>
        <v>2025</v>
      </c>
      <c r="J551" t="str">
        <f>TEXT(calls[[#This Row],[Date of Call]],"DDDD")</f>
        <v>Sunday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623</v>
      </c>
      <c r="C552" t="s">
        <v>56</v>
      </c>
      <c r="D552">
        <v>108</v>
      </c>
      <c r="E552" s="17" t="s">
        <v>34</v>
      </c>
      <c r="F552" s="18">
        <v>45823</v>
      </c>
      <c r="G552">
        <v>56</v>
      </c>
      <c r="H552">
        <v>3.5</v>
      </c>
      <c r="I552">
        <f>IF(MONTH(calls[[#This Row],[Date of Call]])&lt;=6, YEAR(calls[[#This Row],[Date of Call]]), YEAR(calls[[#This Row],[Date of Call]])+1)</f>
        <v>2025</v>
      </c>
      <c r="J552" t="str">
        <f>TEXT(calls[[#This Row],[Date of Call]],"DDDD")</f>
        <v>Sunday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624</v>
      </c>
      <c r="C553" t="s">
        <v>56</v>
      </c>
      <c r="D553">
        <v>44</v>
      </c>
      <c r="E553" s="17" t="s">
        <v>38</v>
      </c>
      <c r="F553" s="18">
        <v>45823</v>
      </c>
      <c r="G553">
        <v>170</v>
      </c>
      <c r="H553">
        <v>3.8</v>
      </c>
      <c r="I553">
        <f>IF(MONTH(calls[[#This Row],[Date of Call]])&lt;=6, YEAR(calls[[#This Row],[Date of Call]]), YEAR(calls[[#This Row],[Date of Call]])+1)</f>
        <v>2025</v>
      </c>
      <c r="J553" t="str">
        <f>TEXT(calls[[#This Row],[Date of Call]],"DDDD")</f>
        <v>Sunday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625</v>
      </c>
      <c r="C554" t="s">
        <v>48</v>
      </c>
      <c r="D554">
        <v>127</v>
      </c>
      <c r="E554" s="17" t="s">
        <v>34</v>
      </c>
      <c r="F554" s="18">
        <v>45824</v>
      </c>
      <c r="G554">
        <v>200</v>
      </c>
      <c r="H554">
        <v>4.8</v>
      </c>
      <c r="I554">
        <f>IF(MONTH(calls[[#This Row],[Date of Call]])&lt;=6, YEAR(calls[[#This Row],[Date of Call]]), YEAR(calls[[#This Row],[Date of Call]])+1)</f>
        <v>2025</v>
      </c>
      <c r="J554" t="str">
        <f>TEXT(calls[[#This Row],[Date of Call]],"DDDD")</f>
        <v>Monday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626</v>
      </c>
      <c r="C555" t="s">
        <v>47</v>
      </c>
      <c r="D555">
        <v>132</v>
      </c>
      <c r="E555" s="17" t="s">
        <v>36</v>
      </c>
      <c r="F555" s="18">
        <v>45825</v>
      </c>
      <c r="G555">
        <v>50</v>
      </c>
      <c r="H555">
        <v>4.2</v>
      </c>
      <c r="I555">
        <f>IF(MONTH(calls[[#This Row],[Date of Call]])&lt;=6, YEAR(calls[[#This Row],[Date of Call]]), YEAR(calls[[#This Row],[Date of Call]])+1)</f>
        <v>2025</v>
      </c>
      <c r="J555" t="str">
        <f>TEXT(calls[[#This Row],[Date of Call]],"DDDD")</f>
        <v>Tuesday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627</v>
      </c>
      <c r="C556" t="s">
        <v>45</v>
      </c>
      <c r="D556">
        <v>106</v>
      </c>
      <c r="E556" s="17" t="s">
        <v>37</v>
      </c>
      <c r="F556" s="18">
        <v>45825</v>
      </c>
      <c r="G556">
        <v>112</v>
      </c>
      <c r="H556">
        <v>3.7</v>
      </c>
      <c r="I556">
        <f>IF(MONTH(calls[[#This Row],[Date of Call]])&lt;=6, YEAR(calls[[#This Row],[Date of Call]]), YEAR(calls[[#This Row],[Date of Call]])+1)</f>
        <v>2025</v>
      </c>
      <c r="J556" t="str">
        <f>TEXT(calls[[#This Row],[Date of Call]],"DDDD")</f>
        <v>Tuesday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628</v>
      </c>
      <c r="C557" t="s">
        <v>51</v>
      </c>
      <c r="D557">
        <v>107</v>
      </c>
      <c r="E557" s="17" t="s">
        <v>36</v>
      </c>
      <c r="F557" s="18">
        <v>45826</v>
      </c>
      <c r="G557">
        <v>39</v>
      </c>
      <c r="H557">
        <v>4.8</v>
      </c>
      <c r="I557">
        <f>IF(MONTH(calls[[#This Row],[Date of Call]])&lt;=6, YEAR(calls[[#This Row],[Date of Call]]), YEAR(calls[[#This Row],[Date of Call]])+1)</f>
        <v>2025</v>
      </c>
      <c r="J557" t="str">
        <f>TEXT(calls[[#This Row],[Date of Call]],"DDDD")</f>
        <v>Wednesday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629</v>
      </c>
      <c r="C558" t="s">
        <v>52</v>
      </c>
      <c r="D558">
        <v>85</v>
      </c>
      <c r="E558" s="17" t="s">
        <v>37</v>
      </c>
      <c r="F558" s="18">
        <v>45826</v>
      </c>
      <c r="G558">
        <v>38</v>
      </c>
      <c r="H558">
        <v>4.8</v>
      </c>
      <c r="I558">
        <f>IF(MONTH(calls[[#This Row],[Date of Call]])&lt;=6, YEAR(calls[[#This Row],[Date of Call]]), YEAR(calls[[#This Row],[Date of Call]])+1)</f>
        <v>2025</v>
      </c>
      <c r="J558" t="str">
        <f>TEXT(calls[[#This Row],[Date of Call]],"DDDD")</f>
        <v>Wednesday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630</v>
      </c>
      <c r="C559" t="s">
        <v>50</v>
      </c>
      <c r="D559">
        <v>49</v>
      </c>
      <c r="E559" s="17" t="s">
        <v>36</v>
      </c>
      <c r="F559" s="18">
        <v>45827</v>
      </c>
      <c r="G559">
        <v>84</v>
      </c>
      <c r="H559">
        <v>2.9</v>
      </c>
      <c r="I559">
        <f>IF(MONTH(calls[[#This Row],[Date of Call]])&lt;=6, YEAR(calls[[#This Row],[Date of Call]]), YEAR(calls[[#This Row],[Date of Call]])+1)</f>
        <v>2025</v>
      </c>
      <c r="J559" t="str">
        <f>TEXT(calls[[#This Row],[Date of Call]],"DDDD")</f>
        <v>Thursday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631</v>
      </c>
      <c r="C560" t="s">
        <v>49</v>
      </c>
      <c r="D560">
        <v>117</v>
      </c>
      <c r="E560" s="17" t="s">
        <v>34</v>
      </c>
      <c r="F560" s="18">
        <v>45828</v>
      </c>
      <c r="G560">
        <v>82</v>
      </c>
      <c r="H560">
        <v>3.5</v>
      </c>
      <c r="I560">
        <f>IF(MONTH(calls[[#This Row],[Date of Call]])&lt;=6, YEAR(calls[[#This Row],[Date of Call]]), YEAR(calls[[#This Row],[Date of Call]])+1)</f>
        <v>2025</v>
      </c>
      <c r="J560" t="str">
        <f>TEXT(calls[[#This Row],[Date of Call]],"DDDD")</f>
        <v>Friday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632</v>
      </c>
      <c r="C561" t="s">
        <v>51</v>
      </c>
      <c r="D561">
        <v>136</v>
      </c>
      <c r="E561" s="17" t="s">
        <v>37</v>
      </c>
      <c r="F561" s="18">
        <v>45828</v>
      </c>
      <c r="G561">
        <v>37</v>
      </c>
      <c r="H561">
        <v>0.9</v>
      </c>
      <c r="I561">
        <f>IF(MONTH(calls[[#This Row],[Date of Call]])&lt;=6, YEAR(calls[[#This Row],[Date of Call]]), YEAR(calls[[#This Row],[Date of Call]])+1)</f>
        <v>2025</v>
      </c>
      <c r="J561" t="str">
        <f>TEXT(calls[[#This Row],[Date of Call]],"DDDD")</f>
        <v>Friday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633</v>
      </c>
      <c r="C562" t="s">
        <v>56</v>
      </c>
      <c r="D562">
        <v>130</v>
      </c>
      <c r="E562" s="17" t="s">
        <v>35</v>
      </c>
      <c r="F562" s="18">
        <v>45829</v>
      </c>
      <c r="G562">
        <v>87</v>
      </c>
      <c r="H562">
        <v>3.4</v>
      </c>
      <c r="I562">
        <f>IF(MONTH(calls[[#This Row],[Date of Call]])&lt;=6, YEAR(calls[[#This Row],[Date of Call]]), YEAR(calls[[#This Row],[Date of Call]])+1)</f>
        <v>2025</v>
      </c>
      <c r="J562" t="str">
        <f>TEXT(calls[[#This Row],[Date of Call]],"DDDD")</f>
        <v>Saturday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634</v>
      </c>
      <c r="C563" t="s">
        <v>56</v>
      </c>
      <c r="D563">
        <v>73</v>
      </c>
      <c r="E563" s="17" t="s">
        <v>35</v>
      </c>
      <c r="F563" s="18">
        <v>45829</v>
      </c>
      <c r="G563">
        <v>75</v>
      </c>
      <c r="H563">
        <v>2.7</v>
      </c>
      <c r="I563">
        <f>IF(MONTH(calls[[#This Row],[Date of Call]])&lt;=6, YEAR(calls[[#This Row],[Date of Call]]), YEAR(calls[[#This Row],[Date of Call]])+1)</f>
        <v>2025</v>
      </c>
      <c r="J563" t="str">
        <f>TEXT(calls[[#This Row],[Date of Call]],"DDDD")</f>
        <v>Saturday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635</v>
      </c>
      <c r="C564" t="s">
        <v>50</v>
      </c>
      <c r="D564">
        <v>80</v>
      </c>
      <c r="E564" s="17" t="s">
        <v>36</v>
      </c>
      <c r="F564" s="18">
        <v>45829</v>
      </c>
      <c r="G564">
        <v>32</v>
      </c>
      <c r="H564">
        <v>4.7</v>
      </c>
      <c r="I564">
        <f>IF(MONTH(calls[[#This Row],[Date of Call]])&lt;=6, YEAR(calls[[#This Row],[Date of Call]]), YEAR(calls[[#This Row],[Date of Call]])+1)</f>
        <v>2025</v>
      </c>
      <c r="J564" t="str">
        <f>TEXT(calls[[#This Row],[Date of Call]],"DDDD")</f>
        <v>Saturday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636</v>
      </c>
      <c r="C565" t="s">
        <v>55</v>
      </c>
      <c r="D565">
        <v>44</v>
      </c>
      <c r="E565" s="17" t="s">
        <v>34</v>
      </c>
      <c r="F565" s="18">
        <v>45829</v>
      </c>
      <c r="G565">
        <v>33</v>
      </c>
      <c r="H565">
        <v>3</v>
      </c>
      <c r="I565">
        <f>IF(MONTH(calls[[#This Row],[Date of Call]])&lt;=6, YEAR(calls[[#This Row],[Date of Call]]), YEAR(calls[[#This Row],[Date of Call]])+1)</f>
        <v>2025</v>
      </c>
      <c r="J565" t="str">
        <f>TEXT(calls[[#This Row],[Date of Call]],"DDDD")</f>
        <v>Saturday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637</v>
      </c>
      <c r="C566" t="s">
        <v>55</v>
      </c>
      <c r="D566">
        <v>102</v>
      </c>
      <c r="E566" s="17" t="s">
        <v>38</v>
      </c>
      <c r="F566" s="18">
        <v>45829</v>
      </c>
      <c r="G566">
        <v>76</v>
      </c>
      <c r="H566">
        <v>4.2</v>
      </c>
      <c r="I566">
        <f>IF(MONTH(calls[[#This Row],[Date of Call]])&lt;=6, YEAR(calls[[#This Row],[Date of Call]]), YEAR(calls[[#This Row],[Date of Call]])+1)</f>
        <v>2025</v>
      </c>
      <c r="J566" t="str">
        <f>TEXT(calls[[#This Row],[Date of Call]],"DDDD")</f>
        <v>Saturday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638</v>
      </c>
      <c r="C567" t="s">
        <v>54</v>
      </c>
      <c r="D567">
        <v>74</v>
      </c>
      <c r="E567" s="17" t="s">
        <v>38</v>
      </c>
      <c r="F567" s="18">
        <v>45829</v>
      </c>
      <c r="G567">
        <v>117</v>
      </c>
      <c r="H567">
        <v>4.8</v>
      </c>
      <c r="I567">
        <f>IF(MONTH(calls[[#This Row],[Date of Call]])&lt;=6, YEAR(calls[[#This Row],[Date of Call]]), YEAR(calls[[#This Row],[Date of Call]])+1)</f>
        <v>2025</v>
      </c>
      <c r="J567" t="str">
        <f>TEXT(calls[[#This Row],[Date of Call]],"DDDD")</f>
        <v>Saturday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639</v>
      </c>
      <c r="C568" t="s">
        <v>50</v>
      </c>
      <c r="D568">
        <v>52</v>
      </c>
      <c r="E568" s="17" t="s">
        <v>34</v>
      </c>
      <c r="F568" s="18">
        <v>45831</v>
      </c>
      <c r="G568">
        <v>70</v>
      </c>
      <c r="H568">
        <v>4.0999999999999996</v>
      </c>
      <c r="I568">
        <f>IF(MONTH(calls[[#This Row],[Date of Call]])&lt;=6, YEAR(calls[[#This Row],[Date of Call]]), YEAR(calls[[#This Row],[Date of Call]])+1)</f>
        <v>2025</v>
      </c>
      <c r="J568" t="str">
        <f>TEXT(calls[[#This Row],[Date of Call]],"DDDD")</f>
        <v>Monday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640</v>
      </c>
      <c r="C569" t="s">
        <v>50</v>
      </c>
      <c r="D569">
        <v>74</v>
      </c>
      <c r="E569" s="17" t="s">
        <v>35</v>
      </c>
      <c r="F569" s="18">
        <v>45831</v>
      </c>
      <c r="G569">
        <v>37</v>
      </c>
      <c r="H569">
        <v>2.7</v>
      </c>
      <c r="I569">
        <f>IF(MONTH(calls[[#This Row],[Date of Call]])&lt;=6, YEAR(calls[[#This Row],[Date of Call]]), YEAR(calls[[#This Row],[Date of Call]])+1)</f>
        <v>2025</v>
      </c>
      <c r="J569" t="str">
        <f>TEXT(calls[[#This Row],[Date of Call]],"DDDD")</f>
        <v>Monday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641</v>
      </c>
      <c r="C570" t="s">
        <v>56</v>
      </c>
      <c r="D570">
        <v>96</v>
      </c>
      <c r="E570" s="17" t="s">
        <v>38</v>
      </c>
      <c r="F570" s="18">
        <v>45831</v>
      </c>
      <c r="G570">
        <v>46</v>
      </c>
      <c r="H570">
        <v>2.9</v>
      </c>
      <c r="I570">
        <f>IF(MONTH(calls[[#This Row],[Date of Call]])&lt;=6, YEAR(calls[[#This Row],[Date of Call]]), YEAR(calls[[#This Row],[Date of Call]])+1)</f>
        <v>2025</v>
      </c>
      <c r="J570" t="str">
        <f>TEXT(calls[[#This Row],[Date of Call]],"DDDD")</f>
        <v>Monday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642</v>
      </c>
      <c r="C571" t="s">
        <v>53</v>
      </c>
      <c r="D571">
        <v>104</v>
      </c>
      <c r="E571" s="17" t="s">
        <v>36</v>
      </c>
      <c r="F571" s="18">
        <v>45831</v>
      </c>
      <c r="G571">
        <v>136</v>
      </c>
      <c r="H571">
        <v>5</v>
      </c>
      <c r="I571">
        <f>IF(MONTH(calls[[#This Row],[Date of Call]])&lt;=6, YEAR(calls[[#This Row],[Date of Call]]), YEAR(calls[[#This Row],[Date of Call]])+1)</f>
        <v>2025</v>
      </c>
      <c r="J571" t="str">
        <f>TEXT(calls[[#This Row],[Date of Call]],"DDDD")</f>
        <v>Monday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643</v>
      </c>
      <c r="C572" t="s">
        <v>56</v>
      </c>
      <c r="D572">
        <v>123</v>
      </c>
      <c r="E572" s="17" t="s">
        <v>38</v>
      </c>
      <c r="F572" s="18">
        <v>45832</v>
      </c>
      <c r="G572">
        <v>44</v>
      </c>
      <c r="H572">
        <v>4.5999999999999996</v>
      </c>
      <c r="I572">
        <f>IF(MONTH(calls[[#This Row],[Date of Call]])&lt;=6, YEAR(calls[[#This Row],[Date of Call]]), YEAR(calls[[#This Row],[Date of Call]])+1)</f>
        <v>2025</v>
      </c>
      <c r="J572" t="str">
        <f>TEXT(calls[[#This Row],[Date of Call]],"DDDD")</f>
        <v>Tuesday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644</v>
      </c>
      <c r="C573" t="s">
        <v>58</v>
      </c>
      <c r="D573">
        <v>100</v>
      </c>
      <c r="E573" s="17" t="s">
        <v>37</v>
      </c>
      <c r="F573" s="18">
        <v>45832</v>
      </c>
      <c r="G573">
        <v>69</v>
      </c>
      <c r="H573">
        <v>3</v>
      </c>
      <c r="I573">
        <f>IF(MONTH(calls[[#This Row],[Date of Call]])&lt;=6, YEAR(calls[[#This Row],[Date of Call]]), YEAR(calls[[#This Row],[Date of Call]])+1)</f>
        <v>2025</v>
      </c>
      <c r="J573" t="str">
        <f>TEXT(calls[[#This Row],[Date of Call]],"DDDD")</f>
        <v>Tuesday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645</v>
      </c>
      <c r="C574" t="s">
        <v>53</v>
      </c>
      <c r="D574">
        <v>35</v>
      </c>
      <c r="E574" s="17" t="s">
        <v>34</v>
      </c>
      <c r="F574" s="18">
        <v>45833</v>
      </c>
      <c r="G574">
        <v>86</v>
      </c>
      <c r="H574">
        <v>4.5999999999999996</v>
      </c>
      <c r="I574">
        <f>IF(MONTH(calls[[#This Row],[Date of Call]])&lt;=6, YEAR(calls[[#This Row],[Date of Call]]), YEAR(calls[[#This Row],[Date of Call]])+1)</f>
        <v>2025</v>
      </c>
      <c r="J574" t="str">
        <f>TEXT(calls[[#This Row],[Date of Call]],"DDDD")</f>
        <v>Wednesday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646</v>
      </c>
      <c r="C575" t="s">
        <v>50</v>
      </c>
      <c r="D575">
        <v>123</v>
      </c>
      <c r="E575" s="17" t="s">
        <v>36</v>
      </c>
      <c r="F575" s="18">
        <v>45833</v>
      </c>
      <c r="G575">
        <v>68</v>
      </c>
      <c r="H575">
        <v>4.5</v>
      </c>
      <c r="I575">
        <f>IF(MONTH(calls[[#This Row],[Date of Call]])&lt;=6, YEAR(calls[[#This Row],[Date of Call]]), YEAR(calls[[#This Row],[Date of Call]])+1)</f>
        <v>2025</v>
      </c>
      <c r="J575" t="str">
        <f>TEXT(calls[[#This Row],[Date of Call]],"DDDD")</f>
        <v>Wednesday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647</v>
      </c>
      <c r="C576" t="s">
        <v>49</v>
      </c>
      <c r="D576">
        <v>133</v>
      </c>
      <c r="E576" s="17" t="s">
        <v>34</v>
      </c>
      <c r="F576" s="18">
        <v>45834</v>
      </c>
      <c r="G576">
        <v>21</v>
      </c>
      <c r="H576">
        <v>3.7</v>
      </c>
      <c r="I576">
        <f>IF(MONTH(calls[[#This Row],[Date of Call]])&lt;=6, YEAR(calls[[#This Row],[Date of Call]]), YEAR(calls[[#This Row],[Date of Call]])+1)</f>
        <v>2025</v>
      </c>
      <c r="J576" t="str">
        <f>TEXT(calls[[#This Row],[Date of Call]],"DDDD")</f>
        <v>Thursday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648</v>
      </c>
      <c r="C577" t="s">
        <v>56</v>
      </c>
      <c r="D577">
        <v>126</v>
      </c>
      <c r="E577" s="17" t="s">
        <v>35</v>
      </c>
      <c r="F577" s="18">
        <v>45834</v>
      </c>
      <c r="G577">
        <v>190</v>
      </c>
      <c r="H577">
        <v>2.4</v>
      </c>
      <c r="I577">
        <f>IF(MONTH(calls[[#This Row],[Date of Call]])&lt;=6, YEAR(calls[[#This Row],[Date of Call]]), YEAR(calls[[#This Row],[Date of Call]])+1)</f>
        <v>2025</v>
      </c>
      <c r="J577" t="str">
        <f>TEXT(calls[[#This Row],[Date of Call]],"DDDD")</f>
        <v>Thursday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649</v>
      </c>
      <c r="C578" t="s">
        <v>50</v>
      </c>
      <c r="D578">
        <v>39</v>
      </c>
      <c r="E578" s="17" t="s">
        <v>38</v>
      </c>
      <c r="F578" s="18">
        <v>45834</v>
      </c>
      <c r="G578">
        <v>176</v>
      </c>
      <c r="H578">
        <v>4.3</v>
      </c>
      <c r="I578">
        <f>IF(MONTH(calls[[#This Row],[Date of Call]])&lt;=6, YEAR(calls[[#This Row],[Date of Call]]), YEAR(calls[[#This Row],[Date of Call]])+1)</f>
        <v>2025</v>
      </c>
      <c r="J578" t="str">
        <f>TEXT(calls[[#This Row],[Date of Call]],"DDDD")</f>
        <v>Thursday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650</v>
      </c>
      <c r="C579" t="s">
        <v>54</v>
      </c>
      <c r="D579">
        <v>31</v>
      </c>
      <c r="E579" s="17" t="s">
        <v>36</v>
      </c>
      <c r="F579" s="18">
        <v>45834</v>
      </c>
      <c r="G579">
        <v>172</v>
      </c>
      <c r="H579">
        <v>3.9</v>
      </c>
      <c r="I579">
        <f>IF(MONTH(calls[[#This Row],[Date of Call]])&lt;=6, YEAR(calls[[#This Row],[Date of Call]]), YEAR(calls[[#This Row],[Date of Call]])+1)</f>
        <v>2025</v>
      </c>
      <c r="J579" t="str">
        <f>TEXT(calls[[#This Row],[Date of Call]],"DDDD")</f>
        <v>Thursday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651</v>
      </c>
      <c r="C580" t="s">
        <v>47</v>
      </c>
      <c r="D580">
        <v>25</v>
      </c>
      <c r="E580" s="17" t="s">
        <v>34</v>
      </c>
      <c r="F580" s="18">
        <v>45834</v>
      </c>
      <c r="G580">
        <v>84</v>
      </c>
      <c r="H580">
        <v>4.5</v>
      </c>
      <c r="I580">
        <f>IF(MONTH(calls[[#This Row],[Date of Call]])&lt;=6, YEAR(calls[[#This Row],[Date of Call]]), YEAR(calls[[#This Row],[Date of Call]])+1)</f>
        <v>2025</v>
      </c>
      <c r="J580" t="str">
        <f>TEXT(calls[[#This Row],[Date of Call]],"DDDD")</f>
        <v>Thursday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652</v>
      </c>
      <c r="C581" t="s">
        <v>46</v>
      </c>
      <c r="D581">
        <v>132</v>
      </c>
      <c r="E581" s="17" t="s">
        <v>37</v>
      </c>
      <c r="F581" s="18">
        <v>45835</v>
      </c>
      <c r="G581">
        <v>42</v>
      </c>
      <c r="H581">
        <v>5</v>
      </c>
      <c r="I581">
        <f>IF(MONTH(calls[[#This Row],[Date of Call]])&lt;=6, YEAR(calls[[#This Row],[Date of Call]]), YEAR(calls[[#This Row],[Date of Call]])+1)</f>
        <v>2025</v>
      </c>
      <c r="J581" t="str">
        <f>TEXT(calls[[#This Row],[Date of Call]],"DDDD")</f>
        <v>Friday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653</v>
      </c>
      <c r="C582" t="s">
        <v>53</v>
      </c>
      <c r="D582">
        <v>63</v>
      </c>
      <c r="E582" s="17" t="s">
        <v>35</v>
      </c>
      <c r="F582" s="18">
        <v>45835</v>
      </c>
      <c r="G582">
        <v>70</v>
      </c>
      <c r="H582">
        <v>1.6</v>
      </c>
      <c r="I582">
        <f>IF(MONTH(calls[[#This Row],[Date of Call]])&lt;=6, YEAR(calls[[#This Row],[Date of Call]]), YEAR(calls[[#This Row],[Date of Call]])+1)</f>
        <v>2025</v>
      </c>
      <c r="J582" t="str">
        <f>TEXT(calls[[#This Row],[Date of Call]],"DDDD")</f>
        <v>Friday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654</v>
      </c>
      <c r="C583" t="s">
        <v>58</v>
      </c>
      <c r="D583">
        <v>135</v>
      </c>
      <c r="E583" s="17" t="s">
        <v>37</v>
      </c>
      <c r="F583" s="18">
        <v>45835</v>
      </c>
      <c r="G583">
        <v>60</v>
      </c>
      <c r="H583">
        <v>4.3</v>
      </c>
      <c r="I583">
        <f>IF(MONTH(calls[[#This Row],[Date of Call]])&lt;=6, YEAR(calls[[#This Row],[Date of Call]]), YEAR(calls[[#This Row],[Date of Call]])+1)</f>
        <v>2025</v>
      </c>
      <c r="J583" t="str">
        <f>TEXT(calls[[#This Row],[Date of Call]],"DDDD")</f>
        <v>Friday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655</v>
      </c>
      <c r="C584" t="s">
        <v>52</v>
      </c>
      <c r="D584">
        <v>101</v>
      </c>
      <c r="E584" s="17" t="s">
        <v>35</v>
      </c>
      <c r="F584" s="18">
        <v>45835</v>
      </c>
      <c r="G584">
        <v>84</v>
      </c>
      <c r="H584">
        <v>3.5</v>
      </c>
      <c r="I584">
        <f>IF(MONTH(calls[[#This Row],[Date of Call]])&lt;=6, YEAR(calls[[#This Row],[Date of Call]]), YEAR(calls[[#This Row],[Date of Call]])+1)</f>
        <v>2025</v>
      </c>
      <c r="J584" t="str">
        <f>TEXT(calls[[#This Row],[Date of Call]],"DDDD")</f>
        <v>Friday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656</v>
      </c>
      <c r="C585" t="s">
        <v>49</v>
      </c>
      <c r="D585">
        <v>80</v>
      </c>
      <c r="E585" s="17" t="s">
        <v>38</v>
      </c>
      <c r="F585" s="18">
        <v>45836</v>
      </c>
      <c r="G585">
        <v>68</v>
      </c>
      <c r="H585">
        <v>3.1</v>
      </c>
      <c r="I585">
        <f>IF(MONTH(calls[[#This Row],[Date of Call]])&lt;=6, YEAR(calls[[#This Row],[Date of Call]]), YEAR(calls[[#This Row],[Date of Call]])+1)</f>
        <v>2025</v>
      </c>
      <c r="J585" t="str">
        <f>TEXT(calls[[#This Row],[Date of Call]],"DDDD")</f>
        <v>Saturday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657</v>
      </c>
      <c r="C586" t="s">
        <v>55</v>
      </c>
      <c r="D586">
        <v>28</v>
      </c>
      <c r="E586" s="17" t="s">
        <v>38</v>
      </c>
      <c r="F586" s="18">
        <v>45836</v>
      </c>
      <c r="G586">
        <v>44</v>
      </c>
      <c r="H586">
        <v>2.9</v>
      </c>
      <c r="I586">
        <f>IF(MONTH(calls[[#This Row],[Date of Call]])&lt;=6, YEAR(calls[[#This Row],[Date of Call]]), YEAR(calls[[#This Row],[Date of Call]])+1)</f>
        <v>2025</v>
      </c>
      <c r="J586" t="str">
        <f>TEXT(calls[[#This Row],[Date of Call]],"DDDD")</f>
        <v>Saturday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658</v>
      </c>
      <c r="C587" t="s">
        <v>52</v>
      </c>
      <c r="D587">
        <v>102</v>
      </c>
      <c r="E587" s="17" t="s">
        <v>37</v>
      </c>
      <c r="F587" s="18">
        <v>45837</v>
      </c>
      <c r="G587">
        <v>99</v>
      </c>
      <c r="H587">
        <v>3.2</v>
      </c>
      <c r="I587">
        <f>IF(MONTH(calls[[#This Row],[Date of Call]])&lt;=6, YEAR(calls[[#This Row],[Date of Call]]), YEAR(calls[[#This Row],[Date of Call]])+1)</f>
        <v>2025</v>
      </c>
      <c r="J587" t="str">
        <f>TEXT(calls[[#This Row],[Date of Call]],"DDDD")</f>
        <v>Sunday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659</v>
      </c>
      <c r="C588" t="s">
        <v>53</v>
      </c>
      <c r="D588">
        <v>60</v>
      </c>
      <c r="E588" s="17" t="s">
        <v>37</v>
      </c>
      <c r="F588" s="18">
        <v>45838</v>
      </c>
      <c r="G588">
        <v>66</v>
      </c>
      <c r="H588">
        <v>3.2</v>
      </c>
      <c r="I588">
        <f>IF(MONTH(calls[[#This Row],[Date of Call]])&lt;=6, YEAR(calls[[#This Row],[Date of Call]]), YEAR(calls[[#This Row],[Date of Call]])+1)</f>
        <v>2025</v>
      </c>
      <c r="J588" t="str">
        <f>TEXT(calls[[#This Row],[Date of Call]],"DDDD")</f>
        <v>Monday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660</v>
      </c>
      <c r="C589" t="s">
        <v>59</v>
      </c>
      <c r="D589">
        <v>103</v>
      </c>
      <c r="E589" s="17" t="s">
        <v>37</v>
      </c>
      <c r="F589" s="18">
        <v>45838</v>
      </c>
      <c r="G589">
        <v>102</v>
      </c>
      <c r="H589">
        <v>4.5</v>
      </c>
      <c r="I589">
        <f>IF(MONTH(calls[[#This Row],[Date of Call]])&lt;=6, YEAR(calls[[#This Row],[Date of Call]]), YEAR(calls[[#This Row],[Date of Call]])+1)</f>
        <v>2025</v>
      </c>
      <c r="J589" t="str">
        <f>TEXT(calls[[#This Row],[Date of Call]],"DDDD")</f>
        <v>Monday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661</v>
      </c>
      <c r="C590" t="s">
        <v>49</v>
      </c>
      <c r="D590">
        <v>90</v>
      </c>
      <c r="E590" s="17" t="s">
        <v>38</v>
      </c>
      <c r="F590" s="18">
        <v>45839</v>
      </c>
      <c r="G590">
        <v>129</v>
      </c>
      <c r="H590">
        <v>3.9</v>
      </c>
      <c r="I590">
        <f>IF(MONTH(calls[[#This Row],[Date of Call]])&lt;=6, YEAR(calls[[#This Row],[Date of Call]]), YEAR(calls[[#This Row],[Date of Call]])+1)</f>
        <v>2026</v>
      </c>
      <c r="J590" t="str">
        <f>TEXT(calls[[#This Row],[Date of Call]],"DDDD")</f>
        <v>Tuesday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662</v>
      </c>
      <c r="C591" t="s">
        <v>48</v>
      </c>
      <c r="D591">
        <v>88</v>
      </c>
      <c r="E591" s="17" t="s">
        <v>37</v>
      </c>
      <c r="F591" s="18">
        <v>45839</v>
      </c>
      <c r="G591">
        <v>80</v>
      </c>
      <c r="H591">
        <v>4.2</v>
      </c>
      <c r="I591">
        <f>IF(MONTH(calls[[#This Row],[Date of Call]])&lt;=6, YEAR(calls[[#This Row],[Date of Call]]), YEAR(calls[[#This Row],[Date of Call]])+1)</f>
        <v>2026</v>
      </c>
      <c r="J591" t="str">
        <f>TEXT(calls[[#This Row],[Date of Call]],"DDDD")</f>
        <v>Tuesday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663</v>
      </c>
      <c r="C592" t="s">
        <v>59</v>
      </c>
      <c r="D592">
        <v>37</v>
      </c>
      <c r="E592" s="17" t="s">
        <v>37</v>
      </c>
      <c r="F592" s="18">
        <v>45839</v>
      </c>
      <c r="G592">
        <v>54</v>
      </c>
      <c r="H592">
        <v>1.8</v>
      </c>
      <c r="I592">
        <f>IF(MONTH(calls[[#This Row],[Date of Call]])&lt;=6, YEAR(calls[[#This Row],[Date of Call]]), YEAR(calls[[#This Row],[Date of Call]])+1)</f>
        <v>2026</v>
      </c>
      <c r="J592" t="str">
        <f>TEXT(calls[[#This Row],[Date of Call]],"DDDD")</f>
        <v>Tuesday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664</v>
      </c>
      <c r="C593" t="s">
        <v>55</v>
      </c>
      <c r="D593">
        <v>142</v>
      </c>
      <c r="E593" s="17" t="s">
        <v>38</v>
      </c>
      <c r="F593" s="18">
        <v>45839</v>
      </c>
      <c r="G593">
        <v>116</v>
      </c>
      <c r="H593">
        <v>4.2</v>
      </c>
      <c r="I593">
        <f>IF(MONTH(calls[[#This Row],[Date of Call]])&lt;=6, YEAR(calls[[#This Row],[Date of Call]]), YEAR(calls[[#This Row],[Date of Call]])+1)</f>
        <v>2026</v>
      </c>
      <c r="J593" t="str">
        <f>TEXT(calls[[#This Row],[Date of Call]],"DDDD")</f>
        <v>Tuesday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665</v>
      </c>
      <c r="C594" t="s">
        <v>55</v>
      </c>
      <c r="D594">
        <v>153</v>
      </c>
      <c r="E594" s="17" t="s">
        <v>34</v>
      </c>
      <c r="F594" s="18">
        <v>45839</v>
      </c>
      <c r="G594">
        <v>102</v>
      </c>
      <c r="H594">
        <v>3.1</v>
      </c>
      <c r="I594">
        <f>IF(MONTH(calls[[#This Row],[Date of Call]])&lt;=6, YEAR(calls[[#This Row],[Date of Call]]), YEAR(calls[[#This Row],[Date of Call]])+1)</f>
        <v>2026</v>
      </c>
      <c r="J594" t="str">
        <f>TEXT(calls[[#This Row],[Date of Call]],"DDDD")</f>
        <v>Tuesday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666</v>
      </c>
      <c r="C595" t="s">
        <v>57</v>
      </c>
      <c r="D595">
        <v>128</v>
      </c>
      <c r="E595" s="17" t="s">
        <v>35</v>
      </c>
      <c r="F595" s="18">
        <v>45839</v>
      </c>
      <c r="G595">
        <v>140</v>
      </c>
      <c r="H595">
        <v>4.3</v>
      </c>
      <c r="I595">
        <f>IF(MONTH(calls[[#This Row],[Date of Call]])&lt;=6, YEAR(calls[[#This Row],[Date of Call]]), YEAR(calls[[#This Row],[Date of Call]])+1)</f>
        <v>2026</v>
      </c>
      <c r="J595" t="str">
        <f>TEXT(calls[[#This Row],[Date of Call]],"DDDD")</f>
        <v>Tuesday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667</v>
      </c>
      <c r="C596" t="s">
        <v>53</v>
      </c>
      <c r="D596">
        <v>110</v>
      </c>
      <c r="E596" s="17" t="s">
        <v>35</v>
      </c>
      <c r="F596" s="18">
        <v>45840</v>
      </c>
      <c r="G596">
        <v>104</v>
      </c>
      <c r="H596">
        <v>4.4000000000000004</v>
      </c>
      <c r="I596">
        <f>IF(MONTH(calls[[#This Row],[Date of Call]])&lt;=6, YEAR(calls[[#This Row],[Date of Call]]), YEAR(calls[[#This Row],[Date of Call]])+1)</f>
        <v>2026</v>
      </c>
      <c r="J596" t="str">
        <f>TEXT(calls[[#This Row],[Date of Call]],"DDDD")</f>
        <v>Wednesday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668</v>
      </c>
      <c r="C597" t="s">
        <v>57</v>
      </c>
      <c r="D597">
        <v>139</v>
      </c>
      <c r="E597" s="17" t="s">
        <v>37</v>
      </c>
      <c r="F597" s="18">
        <v>45840</v>
      </c>
      <c r="G597">
        <v>81</v>
      </c>
      <c r="H597">
        <v>4.4000000000000004</v>
      </c>
      <c r="I597">
        <f>IF(MONTH(calls[[#This Row],[Date of Call]])&lt;=6, YEAR(calls[[#This Row],[Date of Call]]), YEAR(calls[[#This Row],[Date of Call]])+1)</f>
        <v>2026</v>
      </c>
      <c r="J597" t="str">
        <f>TEXT(calls[[#This Row],[Date of Call]],"DDDD")</f>
        <v>Wednesday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669</v>
      </c>
      <c r="C598" t="s">
        <v>52</v>
      </c>
      <c r="D598">
        <v>109</v>
      </c>
      <c r="E598" s="17" t="s">
        <v>36</v>
      </c>
      <c r="F598" s="18">
        <v>45842</v>
      </c>
      <c r="G598">
        <v>140</v>
      </c>
      <c r="H598">
        <v>2.4</v>
      </c>
      <c r="I598">
        <f>IF(MONTH(calls[[#This Row],[Date of Call]])&lt;=6, YEAR(calls[[#This Row],[Date of Call]]), YEAR(calls[[#This Row],[Date of Call]])+1)</f>
        <v>2026</v>
      </c>
      <c r="J598" t="str">
        <f>TEXT(calls[[#This Row],[Date of Call]],"DDDD")</f>
        <v>Friday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670</v>
      </c>
      <c r="C599" t="s">
        <v>46</v>
      </c>
      <c r="D599">
        <v>57</v>
      </c>
      <c r="E599" s="17" t="s">
        <v>38</v>
      </c>
      <c r="F599" s="18">
        <v>45843</v>
      </c>
      <c r="G599">
        <v>120</v>
      </c>
      <c r="H599">
        <v>3.5</v>
      </c>
      <c r="I599">
        <f>IF(MONTH(calls[[#This Row],[Date of Call]])&lt;=6, YEAR(calls[[#This Row],[Date of Call]]), YEAR(calls[[#This Row],[Date of Call]])+1)</f>
        <v>2026</v>
      </c>
      <c r="J599" t="str">
        <f>TEXT(calls[[#This Row],[Date of Call]],"DDDD")</f>
        <v>Saturday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671</v>
      </c>
      <c r="C600" t="s">
        <v>52</v>
      </c>
      <c r="D600">
        <v>68</v>
      </c>
      <c r="E600" s="17" t="s">
        <v>37</v>
      </c>
      <c r="F600" s="18">
        <v>45843</v>
      </c>
      <c r="G600">
        <v>41</v>
      </c>
      <c r="H600">
        <v>3.1</v>
      </c>
      <c r="I600">
        <f>IF(MONTH(calls[[#This Row],[Date of Call]])&lt;=6, YEAR(calls[[#This Row],[Date of Call]]), YEAR(calls[[#This Row],[Date of Call]])+1)</f>
        <v>2026</v>
      </c>
      <c r="J600" t="str">
        <f>TEXT(calls[[#This Row],[Date of Call]],"DDDD")</f>
        <v>Saturday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672</v>
      </c>
      <c r="C601" t="s">
        <v>47</v>
      </c>
      <c r="D601">
        <v>128</v>
      </c>
      <c r="E601" s="17" t="s">
        <v>37</v>
      </c>
      <c r="F601" s="18">
        <v>45843</v>
      </c>
      <c r="G601">
        <v>116</v>
      </c>
      <c r="H601">
        <v>2.2999999999999998</v>
      </c>
      <c r="I601">
        <f>IF(MONTH(calls[[#This Row],[Date of Call]])&lt;=6, YEAR(calls[[#This Row],[Date of Call]]), YEAR(calls[[#This Row],[Date of Call]])+1)</f>
        <v>2026</v>
      </c>
      <c r="J601" t="str">
        <f>TEXT(calls[[#This Row],[Date of Call]],"DDDD")</f>
        <v>Saturday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673</v>
      </c>
      <c r="C602" t="s">
        <v>45</v>
      </c>
      <c r="D602">
        <v>102</v>
      </c>
      <c r="E602" s="17" t="s">
        <v>38</v>
      </c>
      <c r="F602" s="18">
        <v>45844</v>
      </c>
      <c r="G602">
        <v>70</v>
      </c>
      <c r="H602">
        <v>2.8</v>
      </c>
      <c r="I602">
        <f>IF(MONTH(calls[[#This Row],[Date of Call]])&lt;=6, YEAR(calls[[#This Row],[Date of Call]]), YEAR(calls[[#This Row],[Date of Call]])+1)</f>
        <v>2026</v>
      </c>
      <c r="J602" t="str">
        <f>TEXT(calls[[#This Row],[Date of Call]],"DDDD")</f>
        <v>Sunday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674</v>
      </c>
      <c r="C603" t="s">
        <v>57</v>
      </c>
      <c r="D603">
        <v>52</v>
      </c>
      <c r="E603" s="17" t="s">
        <v>34</v>
      </c>
      <c r="F603" s="18">
        <v>45844</v>
      </c>
      <c r="G603">
        <v>42</v>
      </c>
      <c r="H603">
        <v>4.5</v>
      </c>
      <c r="I603">
        <f>IF(MONTH(calls[[#This Row],[Date of Call]])&lt;=6, YEAR(calls[[#This Row],[Date of Call]]), YEAR(calls[[#This Row],[Date of Call]])+1)</f>
        <v>2026</v>
      </c>
      <c r="J603" t="str">
        <f>TEXT(calls[[#This Row],[Date of Call]],"DDDD")</f>
        <v>Sunday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675</v>
      </c>
      <c r="C604" t="s">
        <v>47</v>
      </c>
      <c r="D604">
        <v>55</v>
      </c>
      <c r="E604" s="17" t="s">
        <v>35</v>
      </c>
      <c r="F604" s="18">
        <v>45845</v>
      </c>
      <c r="G604">
        <v>112</v>
      </c>
      <c r="H604">
        <v>4.5</v>
      </c>
      <c r="I604">
        <f>IF(MONTH(calls[[#This Row],[Date of Call]])&lt;=6, YEAR(calls[[#This Row],[Date of Call]]), YEAR(calls[[#This Row],[Date of Call]])+1)</f>
        <v>2026</v>
      </c>
      <c r="J604" t="str">
        <f>TEXT(calls[[#This Row],[Date of Call]],"DDDD")</f>
        <v>Monday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676</v>
      </c>
      <c r="C605" t="s">
        <v>59</v>
      </c>
      <c r="D605">
        <v>107</v>
      </c>
      <c r="E605" s="17" t="s">
        <v>37</v>
      </c>
      <c r="F605" s="18">
        <v>45845</v>
      </c>
      <c r="G605">
        <v>20</v>
      </c>
      <c r="H605">
        <v>4.5</v>
      </c>
      <c r="I605">
        <f>IF(MONTH(calls[[#This Row],[Date of Call]])&lt;=6, YEAR(calls[[#This Row],[Date of Call]]), YEAR(calls[[#This Row],[Date of Call]])+1)</f>
        <v>2026</v>
      </c>
      <c r="J605" t="str">
        <f>TEXT(calls[[#This Row],[Date of Call]],"DDDD")</f>
        <v>Monday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677</v>
      </c>
      <c r="C606" t="s">
        <v>49</v>
      </c>
      <c r="D606">
        <v>88</v>
      </c>
      <c r="E606" s="17" t="s">
        <v>34</v>
      </c>
      <c r="F606" s="18">
        <v>45846</v>
      </c>
      <c r="G606">
        <v>110</v>
      </c>
      <c r="H606">
        <v>4.8</v>
      </c>
      <c r="I606">
        <f>IF(MONTH(calls[[#This Row],[Date of Call]])&lt;=6, YEAR(calls[[#This Row],[Date of Call]]), YEAR(calls[[#This Row],[Date of Call]])+1)</f>
        <v>2026</v>
      </c>
      <c r="J606" t="str">
        <f>TEXT(calls[[#This Row],[Date of Call]],"DDDD")</f>
        <v>Tuesday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678</v>
      </c>
      <c r="C607" t="s">
        <v>50</v>
      </c>
      <c r="D607">
        <v>49</v>
      </c>
      <c r="E607" s="17" t="s">
        <v>34</v>
      </c>
      <c r="F607" s="18">
        <v>45846</v>
      </c>
      <c r="G607">
        <v>39</v>
      </c>
      <c r="H607">
        <v>4.5999999999999996</v>
      </c>
      <c r="I607">
        <f>IF(MONTH(calls[[#This Row],[Date of Call]])&lt;=6, YEAR(calls[[#This Row],[Date of Call]]), YEAR(calls[[#This Row],[Date of Call]])+1)</f>
        <v>2026</v>
      </c>
      <c r="J607" t="str">
        <f>TEXT(calls[[#This Row],[Date of Call]],"DDDD")</f>
        <v>Tuesday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679</v>
      </c>
      <c r="C608" t="s">
        <v>49</v>
      </c>
      <c r="D608">
        <v>72</v>
      </c>
      <c r="E608" s="17" t="s">
        <v>38</v>
      </c>
      <c r="F608" s="18">
        <v>45846</v>
      </c>
      <c r="G608">
        <v>76</v>
      </c>
      <c r="H608">
        <v>4.5</v>
      </c>
      <c r="I608">
        <f>IF(MONTH(calls[[#This Row],[Date of Call]])&lt;=6, YEAR(calls[[#This Row],[Date of Call]]), YEAR(calls[[#This Row],[Date of Call]])+1)</f>
        <v>2026</v>
      </c>
      <c r="J608" t="str">
        <f>TEXT(calls[[#This Row],[Date of Call]],"DDDD")</f>
        <v>Tuesday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680</v>
      </c>
      <c r="C609" t="s">
        <v>46</v>
      </c>
      <c r="D609">
        <v>50</v>
      </c>
      <c r="E609" s="17" t="s">
        <v>38</v>
      </c>
      <c r="F609" s="18">
        <v>45846</v>
      </c>
      <c r="G609">
        <v>40</v>
      </c>
      <c r="H609">
        <v>5</v>
      </c>
      <c r="I609">
        <f>IF(MONTH(calls[[#This Row],[Date of Call]])&lt;=6, YEAR(calls[[#This Row],[Date of Call]]), YEAR(calls[[#This Row],[Date of Call]])+1)</f>
        <v>2026</v>
      </c>
      <c r="J609" t="str">
        <f>TEXT(calls[[#This Row],[Date of Call]],"DDDD")</f>
        <v>Tuesday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681</v>
      </c>
      <c r="C610" t="s">
        <v>49</v>
      </c>
      <c r="D610">
        <v>52</v>
      </c>
      <c r="E610" s="17" t="s">
        <v>37</v>
      </c>
      <c r="F610" s="18">
        <v>45846</v>
      </c>
      <c r="G610">
        <v>42</v>
      </c>
      <c r="H610">
        <v>4.8</v>
      </c>
      <c r="I610">
        <f>IF(MONTH(calls[[#This Row],[Date of Call]])&lt;=6, YEAR(calls[[#This Row],[Date of Call]]), YEAR(calls[[#This Row],[Date of Call]])+1)</f>
        <v>2026</v>
      </c>
      <c r="J610" t="str">
        <f>TEXT(calls[[#This Row],[Date of Call]],"DDDD")</f>
        <v>Tuesday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682</v>
      </c>
      <c r="C611" t="s">
        <v>56</v>
      </c>
      <c r="D611">
        <v>85</v>
      </c>
      <c r="E611" s="17" t="s">
        <v>36</v>
      </c>
      <c r="F611" s="18">
        <v>45847</v>
      </c>
      <c r="G611">
        <v>215</v>
      </c>
      <c r="H611">
        <v>3.5</v>
      </c>
      <c r="I611">
        <f>IF(MONTH(calls[[#This Row],[Date of Call]])&lt;=6, YEAR(calls[[#This Row],[Date of Call]]), YEAR(calls[[#This Row],[Date of Call]])+1)</f>
        <v>2026</v>
      </c>
      <c r="J611" t="str">
        <f>TEXT(calls[[#This Row],[Date of Call]],"DDDD")</f>
        <v>Wednesday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683</v>
      </c>
      <c r="C612" t="s">
        <v>58</v>
      </c>
      <c r="D612">
        <v>98</v>
      </c>
      <c r="E612" s="17" t="s">
        <v>36</v>
      </c>
      <c r="F612" s="18">
        <v>45848</v>
      </c>
      <c r="G612">
        <v>130</v>
      </c>
      <c r="H612">
        <v>3.4</v>
      </c>
      <c r="I612">
        <f>IF(MONTH(calls[[#This Row],[Date of Call]])&lt;=6, YEAR(calls[[#This Row],[Date of Call]]), YEAR(calls[[#This Row],[Date of Call]])+1)</f>
        <v>2026</v>
      </c>
      <c r="J612" t="str">
        <f>TEXT(calls[[#This Row],[Date of Call]],"DDDD")</f>
        <v>Thursday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684</v>
      </c>
      <c r="C613" t="s">
        <v>54</v>
      </c>
      <c r="D613">
        <v>52</v>
      </c>
      <c r="E613" s="17" t="s">
        <v>36</v>
      </c>
      <c r="F613" s="18">
        <v>45848</v>
      </c>
      <c r="G613">
        <v>190</v>
      </c>
      <c r="H613">
        <v>3.3</v>
      </c>
      <c r="I613">
        <f>IF(MONTH(calls[[#This Row],[Date of Call]])&lt;=6, YEAR(calls[[#This Row],[Date of Call]]), YEAR(calls[[#This Row],[Date of Call]])+1)</f>
        <v>2026</v>
      </c>
      <c r="J613" t="str">
        <f>TEXT(calls[[#This Row],[Date of Call]],"DDDD")</f>
        <v>Thursday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685</v>
      </c>
      <c r="C614" t="s">
        <v>47</v>
      </c>
      <c r="D614">
        <v>154</v>
      </c>
      <c r="E614" s="17" t="s">
        <v>34</v>
      </c>
      <c r="F614" s="18">
        <v>45848</v>
      </c>
      <c r="G614">
        <v>164</v>
      </c>
      <c r="H614">
        <v>4.9000000000000004</v>
      </c>
      <c r="I614">
        <f>IF(MONTH(calls[[#This Row],[Date of Call]])&lt;=6, YEAR(calls[[#This Row],[Date of Call]]), YEAR(calls[[#This Row],[Date of Call]])+1)</f>
        <v>2026</v>
      </c>
      <c r="J614" t="str">
        <f>TEXT(calls[[#This Row],[Date of Call]],"DDDD")</f>
        <v>Thursday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686</v>
      </c>
      <c r="C615" t="s">
        <v>51</v>
      </c>
      <c r="D615">
        <v>131</v>
      </c>
      <c r="E615" s="17" t="s">
        <v>35</v>
      </c>
      <c r="F615" s="18">
        <v>45849</v>
      </c>
      <c r="G615">
        <v>76</v>
      </c>
      <c r="H615">
        <v>4.5</v>
      </c>
      <c r="I615">
        <f>IF(MONTH(calls[[#This Row],[Date of Call]])&lt;=6, YEAR(calls[[#This Row],[Date of Call]]), YEAR(calls[[#This Row],[Date of Call]])+1)</f>
        <v>2026</v>
      </c>
      <c r="J615" t="str">
        <f>TEXT(calls[[#This Row],[Date of Call]],"DDDD")</f>
        <v>Friday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687</v>
      </c>
      <c r="C616" t="s">
        <v>56</v>
      </c>
      <c r="D616">
        <v>73</v>
      </c>
      <c r="E616" s="17" t="s">
        <v>35</v>
      </c>
      <c r="F616" s="18">
        <v>45850</v>
      </c>
      <c r="G616">
        <v>87</v>
      </c>
      <c r="H616">
        <v>4.8</v>
      </c>
      <c r="I616">
        <f>IF(MONTH(calls[[#This Row],[Date of Call]])&lt;=6, YEAR(calls[[#This Row],[Date of Call]]), YEAR(calls[[#This Row],[Date of Call]])+1)</f>
        <v>2026</v>
      </c>
      <c r="J616" t="str">
        <f>TEXT(calls[[#This Row],[Date of Call]],"DDDD")</f>
        <v>Saturday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688</v>
      </c>
      <c r="C617" t="s">
        <v>53</v>
      </c>
      <c r="D617">
        <v>45</v>
      </c>
      <c r="E617" s="17" t="s">
        <v>36</v>
      </c>
      <c r="F617" s="18">
        <v>45850</v>
      </c>
      <c r="G617">
        <v>84</v>
      </c>
      <c r="H617">
        <v>4.8</v>
      </c>
      <c r="I617">
        <f>IF(MONTH(calls[[#This Row],[Date of Call]])&lt;=6, YEAR(calls[[#This Row],[Date of Call]]), YEAR(calls[[#This Row],[Date of Call]])+1)</f>
        <v>2026</v>
      </c>
      <c r="J617" t="str">
        <f>TEXT(calls[[#This Row],[Date of Call]],"DDDD")</f>
        <v>Saturday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689</v>
      </c>
      <c r="C618" t="s">
        <v>57</v>
      </c>
      <c r="D618">
        <v>114</v>
      </c>
      <c r="E618" s="17" t="s">
        <v>37</v>
      </c>
      <c r="F618" s="18">
        <v>45850</v>
      </c>
      <c r="G618">
        <v>114</v>
      </c>
      <c r="H618">
        <v>3.9</v>
      </c>
      <c r="I618">
        <f>IF(MONTH(calls[[#This Row],[Date of Call]])&lt;=6, YEAR(calls[[#This Row],[Date of Call]]), YEAR(calls[[#This Row],[Date of Call]])+1)</f>
        <v>2026</v>
      </c>
      <c r="J618" t="str">
        <f>TEXT(calls[[#This Row],[Date of Call]],"DDDD")</f>
        <v>Saturday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690</v>
      </c>
      <c r="C619" t="s">
        <v>58</v>
      </c>
      <c r="D619">
        <v>69</v>
      </c>
      <c r="E619" s="17" t="s">
        <v>35</v>
      </c>
      <c r="F619" s="18">
        <v>45851</v>
      </c>
      <c r="G619">
        <v>56</v>
      </c>
      <c r="H619">
        <v>3.9</v>
      </c>
      <c r="I619">
        <f>IF(MONTH(calls[[#This Row],[Date of Call]])&lt;=6, YEAR(calls[[#This Row],[Date of Call]]), YEAR(calls[[#This Row],[Date of Call]])+1)</f>
        <v>2026</v>
      </c>
      <c r="J619" t="str">
        <f>TEXT(calls[[#This Row],[Date of Call]],"DDDD")</f>
        <v>Sunday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691</v>
      </c>
      <c r="C620" t="s">
        <v>51</v>
      </c>
      <c r="D620">
        <v>33</v>
      </c>
      <c r="E620" s="17" t="s">
        <v>34</v>
      </c>
      <c r="F620" s="18">
        <v>45851</v>
      </c>
      <c r="G620">
        <v>27</v>
      </c>
      <c r="H620">
        <v>3.7</v>
      </c>
      <c r="I620">
        <f>IF(MONTH(calls[[#This Row],[Date of Call]])&lt;=6, YEAR(calls[[#This Row],[Date of Call]]), YEAR(calls[[#This Row],[Date of Call]])+1)</f>
        <v>2026</v>
      </c>
      <c r="J620" t="str">
        <f>TEXT(calls[[#This Row],[Date of Call]],"DDDD")</f>
        <v>Sunday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692</v>
      </c>
      <c r="C621" t="s">
        <v>46</v>
      </c>
      <c r="D621">
        <v>31</v>
      </c>
      <c r="E621" s="17" t="s">
        <v>38</v>
      </c>
      <c r="F621" s="18">
        <v>45852</v>
      </c>
      <c r="G621">
        <v>84</v>
      </c>
      <c r="H621">
        <v>4.8</v>
      </c>
      <c r="I621">
        <f>IF(MONTH(calls[[#This Row],[Date of Call]])&lt;=6, YEAR(calls[[#This Row],[Date of Call]]), YEAR(calls[[#This Row],[Date of Call]])+1)</f>
        <v>2026</v>
      </c>
      <c r="J621" t="str">
        <f>TEXT(calls[[#This Row],[Date of Call]],"DDDD")</f>
        <v>Monday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693</v>
      </c>
      <c r="C622" t="s">
        <v>53</v>
      </c>
      <c r="D622">
        <v>168</v>
      </c>
      <c r="E622" s="17" t="s">
        <v>34</v>
      </c>
      <c r="F622" s="18">
        <v>45852</v>
      </c>
      <c r="G622">
        <v>72</v>
      </c>
      <c r="H622">
        <v>3.5</v>
      </c>
      <c r="I622">
        <f>IF(MONTH(calls[[#This Row],[Date of Call]])&lt;=6, YEAR(calls[[#This Row],[Date of Call]]), YEAR(calls[[#This Row],[Date of Call]])+1)</f>
        <v>2026</v>
      </c>
      <c r="J622" t="str">
        <f>TEXT(calls[[#This Row],[Date of Call]],"DDDD")</f>
        <v>Monday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694</v>
      </c>
      <c r="C623" t="s">
        <v>56</v>
      </c>
      <c r="D623">
        <v>111</v>
      </c>
      <c r="E623" s="17" t="s">
        <v>37</v>
      </c>
      <c r="F623" s="18">
        <v>45853</v>
      </c>
      <c r="G623">
        <v>126</v>
      </c>
      <c r="H623">
        <v>4.2</v>
      </c>
      <c r="I623">
        <f>IF(MONTH(calls[[#This Row],[Date of Call]])&lt;=6, YEAR(calls[[#This Row],[Date of Call]]), YEAR(calls[[#This Row],[Date of Call]])+1)</f>
        <v>2026</v>
      </c>
      <c r="J623" t="str">
        <f>TEXT(calls[[#This Row],[Date of Call]],"DDDD")</f>
        <v>Tuesday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695</v>
      </c>
      <c r="C624" t="s">
        <v>46</v>
      </c>
      <c r="D624">
        <v>80</v>
      </c>
      <c r="E624" s="17" t="s">
        <v>34</v>
      </c>
      <c r="F624" s="18">
        <v>45854</v>
      </c>
      <c r="G624">
        <v>88</v>
      </c>
      <c r="H624">
        <v>4.9000000000000004</v>
      </c>
      <c r="I624">
        <f>IF(MONTH(calls[[#This Row],[Date of Call]])&lt;=6, YEAR(calls[[#This Row],[Date of Call]]), YEAR(calls[[#This Row],[Date of Call]])+1)</f>
        <v>2026</v>
      </c>
      <c r="J624" t="str">
        <f>TEXT(calls[[#This Row],[Date of Call]],"DDDD")</f>
        <v>Wednesday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696</v>
      </c>
      <c r="C625" t="s">
        <v>45</v>
      </c>
      <c r="D625">
        <v>37</v>
      </c>
      <c r="E625" s="17" t="s">
        <v>34</v>
      </c>
      <c r="F625" s="18">
        <v>45854</v>
      </c>
      <c r="G625">
        <v>124</v>
      </c>
      <c r="H625">
        <v>4.5999999999999996</v>
      </c>
      <c r="I625">
        <f>IF(MONTH(calls[[#This Row],[Date of Call]])&lt;=6, YEAR(calls[[#This Row],[Date of Call]]), YEAR(calls[[#This Row],[Date of Call]])+1)</f>
        <v>2026</v>
      </c>
      <c r="J625" t="str">
        <f>TEXT(calls[[#This Row],[Date of Call]],"DDDD")</f>
        <v>Wednesday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697</v>
      </c>
      <c r="C626" t="s">
        <v>55</v>
      </c>
      <c r="D626">
        <v>137</v>
      </c>
      <c r="E626" s="17" t="s">
        <v>34</v>
      </c>
      <c r="F626" s="18">
        <v>45855</v>
      </c>
      <c r="G626">
        <v>84</v>
      </c>
      <c r="H626">
        <v>2.6</v>
      </c>
      <c r="I626">
        <f>IF(MONTH(calls[[#This Row],[Date of Call]])&lt;=6, YEAR(calls[[#This Row],[Date of Call]]), YEAR(calls[[#This Row],[Date of Call]])+1)</f>
        <v>2026</v>
      </c>
      <c r="J626" t="str">
        <f>TEXT(calls[[#This Row],[Date of Call]],"DDDD")</f>
        <v>Thursday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698</v>
      </c>
      <c r="C627" t="s">
        <v>58</v>
      </c>
      <c r="D627">
        <v>123</v>
      </c>
      <c r="E627" s="17" t="s">
        <v>37</v>
      </c>
      <c r="F627" s="18">
        <v>45855</v>
      </c>
      <c r="G627">
        <v>80</v>
      </c>
      <c r="H627">
        <v>2.7</v>
      </c>
      <c r="I627">
        <f>IF(MONTH(calls[[#This Row],[Date of Call]])&lt;=6, YEAR(calls[[#This Row],[Date of Call]]), YEAR(calls[[#This Row],[Date of Call]])+1)</f>
        <v>2026</v>
      </c>
      <c r="J627" t="str">
        <f>TEXT(calls[[#This Row],[Date of Call]],"DDDD")</f>
        <v>Thursday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699</v>
      </c>
      <c r="C628" t="s">
        <v>48</v>
      </c>
      <c r="D628">
        <v>105</v>
      </c>
      <c r="E628" s="17" t="s">
        <v>37</v>
      </c>
      <c r="F628" s="18">
        <v>45856</v>
      </c>
      <c r="G628">
        <v>176</v>
      </c>
      <c r="H628">
        <v>4.7</v>
      </c>
      <c r="I628">
        <f>IF(MONTH(calls[[#This Row],[Date of Call]])&lt;=6, YEAR(calls[[#This Row],[Date of Call]]), YEAR(calls[[#This Row],[Date of Call]])+1)</f>
        <v>2026</v>
      </c>
      <c r="J628" t="str">
        <f>TEXT(calls[[#This Row],[Date of Call]],"DDDD")</f>
        <v>Friday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700</v>
      </c>
      <c r="C629" t="s">
        <v>45</v>
      </c>
      <c r="D629">
        <v>76</v>
      </c>
      <c r="E629" s="17" t="s">
        <v>36</v>
      </c>
      <c r="F629" s="18">
        <v>45857</v>
      </c>
      <c r="G629">
        <v>84</v>
      </c>
      <c r="H629">
        <v>3.9</v>
      </c>
      <c r="I629">
        <f>IF(MONTH(calls[[#This Row],[Date of Call]])&lt;=6, YEAR(calls[[#This Row],[Date of Call]]), YEAR(calls[[#This Row],[Date of Call]])+1)</f>
        <v>2026</v>
      </c>
      <c r="J629" t="str">
        <f>TEXT(calls[[#This Row],[Date of Call]],"DDDD")</f>
        <v>Saturday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701</v>
      </c>
      <c r="C630" t="s">
        <v>46</v>
      </c>
      <c r="D630">
        <v>144</v>
      </c>
      <c r="E630" s="17" t="s">
        <v>36</v>
      </c>
      <c r="F630" s="18">
        <v>45857</v>
      </c>
      <c r="G630">
        <v>164</v>
      </c>
      <c r="H630">
        <v>2.8</v>
      </c>
      <c r="I630">
        <f>IF(MONTH(calls[[#This Row],[Date of Call]])&lt;=6, YEAR(calls[[#This Row],[Date of Call]]), YEAR(calls[[#This Row],[Date of Call]])+1)</f>
        <v>2026</v>
      </c>
      <c r="J630" t="str">
        <f>TEXT(calls[[#This Row],[Date of Call]],"DDDD")</f>
        <v>Saturday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702</v>
      </c>
      <c r="C631" t="s">
        <v>51</v>
      </c>
      <c r="D631">
        <v>109</v>
      </c>
      <c r="E631" s="17" t="s">
        <v>38</v>
      </c>
      <c r="F631" s="18">
        <v>45857</v>
      </c>
      <c r="G631">
        <v>132</v>
      </c>
      <c r="H631">
        <v>3.1</v>
      </c>
      <c r="I631">
        <f>IF(MONTH(calls[[#This Row],[Date of Call]])&lt;=6, YEAR(calls[[#This Row],[Date of Call]]), YEAR(calls[[#This Row],[Date of Call]])+1)</f>
        <v>2026</v>
      </c>
      <c r="J631" t="str">
        <f>TEXT(calls[[#This Row],[Date of Call]],"DDDD")</f>
        <v>Saturday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703</v>
      </c>
      <c r="C632" t="s">
        <v>58</v>
      </c>
      <c r="D632">
        <v>172</v>
      </c>
      <c r="E632" s="17" t="s">
        <v>34</v>
      </c>
      <c r="F632" s="18">
        <v>45858</v>
      </c>
      <c r="G632">
        <v>27</v>
      </c>
      <c r="H632">
        <v>4.2</v>
      </c>
      <c r="I632">
        <f>IF(MONTH(calls[[#This Row],[Date of Call]])&lt;=6, YEAR(calls[[#This Row],[Date of Call]]), YEAR(calls[[#This Row],[Date of Call]])+1)</f>
        <v>2026</v>
      </c>
      <c r="J632" t="str">
        <f>TEXT(calls[[#This Row],[Date of Call]],"DDDD")</f>
        <v>Sunday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704</v>
      </c>
      <c r="C633" t="s">
        <v>46</v>
      </c>
      <c r="D633">
        <v>56</v>
      </c>
      <c r="E633" s="17" t="s">
        <v>37</v>
      </c>
      <c r="F633" s="18">
        <v>45858</v>
      </c>
      <c r="G633">
        <v>27</v>
      </c>
      <c r="H633">
        <v>4.3</v>
      </c>
      <c r="I633">
        <f>IF(MONTH(calls[[#This Row],[Date of Call]])&lt;=6, YEAR(calls[[#This Row],[Date of Call]]), YEAR(calls[[#This Row],[Date of Call]])+1)</f>
        <v>2026</v>
      </c>
      <c r="J633" t="str">
        <f>TEXT(calls[[#This Row],[Date of Call]],"DDDD")</f>
        <v>Sunday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705</v>
      </c>
      <c r="C634" t="s">
        <v>46</v>
      </c>
      <c r="D634">
        <v>121</v>
      </c>
      <c r="E634" s="17" t="s">
        <v>35</v>
      </c>
      <c r="F634" s="18">
        <v>45858</v>
      </c>
      <c r="G634">
        <v>20</v>
      </c>
      <c r="H634">
        <v>2.7</v>
      </c>
      <c r="I634">
        <f>IF(MONTH(calls[[#This Row],[Date of Call]])&lt;=6, YEAR(calls[[#This Row],[Date of Call]]), YEAR(calls[[#This Row],[Date of Call]])+1)</f>
        <v>2026</v>
      </c>
      <c r="J634" t="str">
        <f>TEXT(calls[[#This Row],[Date of Call]],"DDDD")</f>
        <v>Sunday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706</v>
      </c>
      <c r="C635" t="s">
        <v>58</v>
      </c>
      <c r="D635">
        <v>41</v>
      </c>
      <c r="E635" s="17" t="s">
        <v>37</v>
      </c>
      <c r="F635" s="18">
        <v>45859</v>
      </c>
      <c r="G635">
        <v>112</v>
      </c>
      <c r="H635">
        <v>2.2999999999999998</v>
      </c>
      <c r="I635">
        <f>IF(MONTH(calls[[#This Row],[Date of Call]])&lt;=6, YEAR(calls[[#This Row],[Date of Call]]), YEAR(calls[[#This Row],[Date of Call]])+1)</f>
        <v>2026</v>
      </c>
      <c r="J635" t="str">
        <f>TEXT(calls[[#This Row],[Date of Call]],"DDDD")</f>
        <v>Monday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707</v>
      </c>
      <c r="C636" t="s">
        <v>59</v>
      </c>
      <c r="D636">
        <v>60</v>
      </c>
      <c r="E636" s="17" t="s">
        <v>34</v>
      </c>
      <c r="F636" s="18">
        <v>45859</v>
      </c>
      <c r="G636">
        <v>60</v>
      </c>
      <c r="H636">
        <v>2.2999999999999998</v>
      </c>
      <c r="I636">
        <f>IF(MONTH(calls[[#This Row],[Date of Call]])&lt;=6, YEAR(calls[[#This Row],[Date of Call]]), YEAR(calls[[#This Row],[Date of Call]])+1)</f>
        <v>2026</v>
      </c>
      <c r="J636" t="str">
        <f>TEXT(calls[[#This Row],[Date of Call]],"DDDD")</f>
        <v>Monday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708</v>
      </c>
      <c r="C637" t="s">
        <v>59</v>
      </c>
      <c r="D637">
        <v>144</v>
      </c>
      <c r="E637" s="17" t="s">
        <v>34</v>
      </c>
      <c r="F637" s="18">
        <v>45860</v>
      </c>
      <c r="G637">
        <v>102</v>
      </c>
      <c r="H637">
        <v>2.9</v>
      </c>
      <c r="I637">
        <f>IF(MONTH(calls[[#This Row],[Date of Call]])&lt;=6, YEAR(calls[[#This Row],[Date of Call]]), YEAR(calls[[#This Row],[Date of Call]])+1)</f>
        <v>2026</v>
      </c>
      <c r="J637" t="str">
        <f>TEXT(calls[[#This Row],[Date of Call]],"DDDD")</f>
        <v>Tuesday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709</v>
      </c>
      <c r="C638" t="s">
        <v>47</v>
      </c>
      <c r="D638">
        <v>67</v>
      </c>
      <c r="E638" s="17" t="s">
        <v>34</v>
      </c>
      <c r="F638" s="18">
        <v>45860</v>
      </c>
      <c r="G638">
        <v>38</v>
      </c>
      <c r="H638">
        <v>4.2</v>
      </c>
      <c r="I638">
        <f>IF(MONTH(calls[[#This Row],[Date of Call]])&lt;=6, YEAR(calls[[#This Row],[Date of Call]]), YEAR(calls[[#This Row],[Date of Call]])+1)</f>
        <v>2026</v>
      </c>
      <c r="J638" t="str">
        <f>TEXT(calls[[#This Row],[Date of Call]],"DDDD")</f>
        <v>Tuesday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710</v>
      </c>
      <c r="C639" t="s">
        <v>58</v>
      </c>
      <c r="D639">
        <v>162</v>
      </c>
      <c r="E639" s="17" t="s">
        <v>38</v>
      </c>
      <c r="F639" s="18">
        <v>45860</v>
      </c>
      <c r="G639">
        <v>82</v>
      </c>
      <c r="H639">
        <v>4.5999999999999996</v>
      </c>
      <c r="I639">
        <f>IF(MONTH(calls[[#This Row],[Date of Call]])&lt;=6, YEAR(calls[[#This Row],[Date of Call]]), YEAR(calls[[#This Row],[Date of Call]])+1)</f>
        <v>2026</v>
      </c>
      <c r="J639" t="str">
        <f>TEXT(calls[[#This Row],[Date of Call]],"DDDD")</f>
        <v>Tuesday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711</v>
      </c>
      <c r="C640" t="s">
        <v>59</v>
      </c>
      <c r="D640">
        <v>87</v>
      </c>
      <c r="E640" s="17" t="s">
        <v>35</v>
      </c>
      <c r="F640" s="18">
        <v>45863</v>
      </c>
      <c r="G640">
        <v>125</v>
      </c>
      <c r="H640">
        <v>4.5</v>
      </c>
      <c r="I640">
        <f>IF(MONTH(calls[[#This Row],[Date of Call]])&lt;=6, YEAR(calls[[#This Row],[Date of Call]]), YEAR(calls[[#This Row],[Date of Call]])+1)</f>
        <v>2026</v>
      </c>
      <c r="J640" t="str">
        <f>TEXT(calls[[#This Row],[Date of Call]],"DDDD")</f>
        <v>Friday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712</v>
      </c>
      <c r="C641" t="s">
        <v>54</v>
      </c>
      <c r="D641">
        <v>10</v>
      </c>
      <c r="E641" s="17" t="s">
        <v>36</v>
      </c>
      <c r="F641" s="18">
        <v>45864</v>
      </c>
      <c r="G641">
        <v>72</v>
      </c>
      <c r="H641">
        <v>3.7</v>
      </c>
      <c r="I641">
        <f>IF(MONTH(calls[[#This Row],[Date of Call]])&lt;=6, YEAR(calls[[#This Row],[Date of Call]]), YEAR(calls[[#This Row],[Date of Call]])+1)</f>
        <v>2026</v>
      </c>
      <c r="J641" t="str">
        <f>TEXT(calls[[#This Row],[Date of Call]],"DDDD")</f>
        <v>Saturday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713</v>
      </c>
      <c r="C642" t="s">
        <v>46</v>
      </c>
      <c r="D642">
        <v>138</v>
      </c>
      <c r="E642" s="17" t="s">
        <v>36</v>
      </c>
      <c r="F642" s="18">
        <v>45864</v>
      </c>
      <c r="G642">
        <v>195</v>
      </c>
      <c r="H642">
        <v>4.0999999999999996</v>
      </c>
      <c r="I642">
        <f>IF(MONTH(calls[[#This Row],[Date of Call]])&lt;=6, YEAR(calls[[#This Row],[Date of Call]]), YEAR(calls[[#This Row],[Date of Call]])+1)</f>
        <v>2026</v>
      </c>
      <c r="J642" t="str">
        <f>TEXT(calls[[#This Row],[Date of Call]],"DDDD")</f>
        <v>Saturday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714</v>
      </c>
      <c r="C643" t="s">
        <v>58</v>
      </c>
      <c r="D643">
        <v>31</v>
      </c>
      <c r="E643" s="17" t="s">
        <v>36</v>
      </c>
      <c r="F643" s="18">
        <v>45865</v>
      </c>
      <c r="G643">
        <v>160</v>
      </c>
      <c r="H643">
        <v>3.4</v>
      </c>
      <c r="I643">
        <f>IF(MONTH(calls[[#This Row],[Date of Call]])&lt;=6, YEAR(calls[[#This Row],[Date of Call]]), YEAR(calls[[#This Row],[Date of Call]])+1)</f>
        <v>2026</v>
      </c>
      <c r="J643" t="str">
        <f>TEXT(calls[[#This Row],[Date of Call]],"DDDD")</f>
        <v>Sunday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715</v>
      </c>
      <c r="C644" t="s">
        <v>48</v>
      </c>
      <c r="D644">
        <v>75</v>
      </c>
      <c r="E644" s="17" t="s">
        <v>38</v>
      </c>
      <c r="F644" s="18">
        <v>45865</v>
      </c>
      <c r="G644">
        <v>78</v>
      </c>
      <c r="H644">
        <v>3.3</v>
      </c>
      <c r="I644">
        <f>IF(MONTH(calls[[#This Row],[Date of Call]])&lt;=6, YEAR(calls[[#This Row],[Date of Call]]), YEAR(calls[[#This Row],[Date of Call]])+1)</f>
        <v>2026</v>
      </c>
      <c r="J644" t="str">
        <f>TEXT(calls[[#This Row],[Date of Call]],"DDDD")</f>
        <v>Sunday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716</v>
      </c>
      <c r="C645" t="s">
        <v>45</v>
      </c>
      <c r="D645">
        <v>65</v>
      </c>
      <c r="E645" s="17" t="s">
        <v>38</v>
      </c>
      <c r="F645" s="18">
        <v>45866</v>
      </c>
      <c r="G645">
        <v>70</v>
      </c>
      <c r="H645">
        <v>4.4000000000000004</v>
      </c>
      <c r="I645">
        <f>IF(MONTH(calls[[#This Row],[Date of Call]])&lt;=6, YEAR(calls[[#This Row],[Date of Call]]), YEAR(calls[[#This Row],[Date of Call]])+1)</f>
        <v>2026</v>
      </c>
      <c r="J645" t="str">
        <f>TEXT(calls[[#This Row],[Date of Call]],"DDDD")</f>
        <v>Monday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717</v>
      </c>
      <c r="C646" t="s">
        <v>56</v>
      </c>
      <c r="D646">
        <v>106</v>
      </c>
      <c r="E646" s="17" t="s">
        <v>37</v>
      </c>
      <c r="F646" s="18">
        <v>45866</v>
      </c>
      <c r="G646">
        <v>105</v>
      </c>
      <c r="H646">
        <v>4.2</v>
      </c>
      <c r="I646">
        <f>IF(MONTH(calls[[#This Row],[Date of Call]])&lt;=6, YEAR(calls[[#This Row],[Date of Call]]), YEAR(calls[[#This Row],[Date of Call]])+1)</f>
        <v>2026</v>
      </c>
      <c r="J646" t="str">
        <f>TEXT(calls[[#This Row],[Date of Call]],"DDDD")</f>
        <v>Monday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718</v>
      </c>
      <c r="C647" t="s">
        <v>45</v>
      </c>
      <c r="D647">
        <v>107</v>
      </c>
      <c r="E647" s="17" t="s">
        <v>37</v>
      </c>
      <c r="F647" s="18">
        <v>45867</v>
      </c>
      <c r="G647">
        <v>78</v>
      </c>
      <c r="H647">
        <v>3.4</v>
      </c>
      <c r="I647">
        <f>IF(MONTH(calls[[#This Row],[Date of Call]])&lt;=6, YEAR(calls[[#This Row],[Date of Call]]), YEAR(calls[[#This Row],[Date of Call]])+1)</f>
        <v>2026</v>
      </c>
      <c r="J647" t="str">
        <f>TEXT(calls[[#This Row],[Date of Call]],"DDDD")</f>
        <v>Tuesday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719</v>
      </c>
      <c r="C648" t="s">
        <v>55</v>
      </c>
      <c r="D648">
        <v>78</v>
      </c>
      <c r="E648" s="17" t="s">
        <v>37</v>
      </c>
      <c r="F648" s="18">
        <v>45869</v>
      </c>
      <c r="G648">
        <v>205</v>
      </c>
      <c r="H648">
        <v>4.4000000000000004</v>
      </c>
      <c r="I648">
        <f>IF(MONTH(calls[[#This Row],[Date of Call]])&lt;=6, YEAR(calls[[#This Row],[Date of Call]]), YEAR(calls[[#This Row],[Date of Call]])+1)</f>
        <v>2026</v>
      </c>
      <c r="J648" t="str">
        <f>TEXT(calls[[#This Row],[Date of Call]],"DDDD")</f>
        <v>Thursday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720</v>
      </c>
      <c r="C649" t="s">
        <v>49</v>
      </c>
      <c r="D649">
        <v>122</v>
      </c>
      <c r="E649" s="17" t="s">
        <v>37</v>
      </c>
      <c r="F649" s="18">
        <v>45869</v>
      </c>
      <c r="G649">
        <v>78</v>
      </c>
      <c r="H649">
        <v>2.7</v>
      </c>
      <c r="I649">
        <f>IF(MONTH(calls[[#This Row],[Date of Call]])&lt;=6, YEAR(calls[[#This Row],[Date of Call]]), YEAR(calls[[#This Row],[Date of Call]])+1)</f>
        <v>2026</v>
      </c>
      <c r="J649" t="str">
        <f>TEXT(calls[[#This Row],[Date of Call]],"DDDD")</f>
        <v>Thursday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721</v>
      </c>
      <c r="C650" t="s">
        <v>46</v>
      </c>
      <c r="D650">
        <v>58</v>
      </c>
      <c r="E650" s="17" t="s">
        <v>36</v>
      </c>
      <c r="F650" s="18">
        <v>45869</v>
      </c>
      <c r="G650">
        <v>38</v>
      </c>
      <c r="H650">
        <v>4.5</v>
      </c>
      <c r="I650">
        <f>IF(MONTH(calls[[#This Row],[Date of Call]])&lt;=6, YEAR(calls[[#This Row],[Date of Call]]), YEAR(calls[[#This Row],[Date of Call]])+1)</f>
        <v>2026</v>
      </c>
      <c r="J650" t="str">
        <f>TEXT(calls[[#This Row],[Date of Call]],"DDDD")</f>
        <v>Thursday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722</v>
      </c>
      <c r="C651" t="s">
        <v>55</v>
      </c>
      <c r="D651">
        <v>33</v>
      </c>
      <c r="E651" s="17" t="s">
        <v>34</v>
      </c>
      <c r="F651" s="18">
        <v>45869</v>
      </c>
      <c r="G651">
        <v>92</v>
      </c>
      <c r="H651">
        <v>1.7</v>
      </c>
      <c r="I651">
        <f>IF(MONTH(calls[[#This Row],[Date of Call]])&lt;=6, YEAR(calls[[#This Row],[Date of Call]]), YEAR(calls[[#This Row],[Date of Call]])+1)</f>
        <v>2026</v>
      </c>
      <c r="J651" t="str">
        <f>TEXT(calls[[#This Row],[Date of Call]],"DDDD")</f>
        <v>Thursday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723</v>
      </c>
      <c r="C652" t="s">
        <v>51</v>
      </c>
      <c r="D652">
        <v>164</v>
      </c>
      <c r="E652" s="17" t="s">
        <v>38</v>
      </c>
      <c r="F652" s="18">
        <v>45869</v>
      </c>
      <c r="G652">
        <v>36</v>
      </c>
      <c r="H652">
        <v>4.7</v>
      </c>
      <c r="I652">
        <f>IF(MONTH(calls[[#This Row],[Date of Call]])&lt;=6, YEAR(calls[[#This Row],[Date of Call]]), YEAR(calls[[#This Row],[Date of Call]])+1)</f>
        <v>2026</v>
      </c>
      <c r="J652" t="str">
        <f>TEXT(calls[[#This Row],[Date of Call]],"DDDD")</f>
        <v>Thursday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724</v>
      </c>
      <c r="C653" t="s">
        <v>48</v>
      </c>
      <c r="D653">
        <v>163</v>
      </c>
      <c r="E653" s="17" t="s">
        <v>35</v>
      </c>
      <c r="F653" s="18">
        <v>45869</v>
      </c>
      <c r="G653">
        <v>76</v>
      </c>
      <c r="H653">
        <v>4.4000000000000004</v>
      </c>
      <c r="I653">
        <f>IF(MONTH(calls[[#This Row],[Date of Call]])&lt;=6, YEAR(calls[[#This Row],[Date of Call]]), YEAR(calls[[#This Row],[Date of Call]])+1)</f>
        <v>2026</v>
      </c>
      <c r="J653" t="str">
        <f>TEXT(calls[[#This Row],[Date of Call]],"DDDD")</f>
        <v>Thursday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725</v>
      </c>
      <c r="C654" t="s">
        <v>50</v>
      </c>
      <c r="D654">
        <v>71</v>
      </c>
      <c r="E654" s="17" t="s">
        <v>38</v>
      </c>
      <c r="F654" s="18">
        <v>45871</v>
      </c>
      <c r="G654">
        <v>170</v>
      </c>
      <c r="H654">
        <v>3.5</v>
      </c>
      <c r="I654">
        <f>IF(MONTH(calls[[#This Row],[Date of Call]])&lt;=6, YEAR(calls[[#This Row],[Date of Call]]), YEAR(calls[[#This Row],[Date of Call]])+1)</f>
        <v>2026</v>
      </c>
      <c r="J654" t="str">
        <f>TEXT(calls[[#This Row],[Date of Call]],"DDDD")</f>
        <v>Saturday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726</v>
      </c>
      <c r="C655" t="s">
        <v>55</v>
      </c>
      <c r="D655">
        <v>103</v>
      </c>
      <c r="E655" s="17" t="s">
        <v>36</v>
      </c>
      <c r="F655" s="18">
        <v>45872</v>
      </c>
      <c r="G655">
        <v>117</v>
      </c>
      <c r="H655">
        <v>4.7</v>
      </c>
      <c r="I655">
        <f>IF(MONTH(calls[[#This Row],[Date of Call]])&lt;=6, YEAR(calls[[#This Row],[Date of Call]]), YEAR(calls[[#This Row],[Date of Call]])+1)</f>
        <v>2026</v>
      </c>
      <c r="J655" t="str">
        <f>TEXT(calls[[#This Row],[Date of Call]],"DDDD")</f>
        <v>Sunday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727</v>
      </c>
      <c r="C656" t="s">
        <v>57</v>
      </c>
      <c r="D656">
        <v>69</v>
      </c>
      <c r="E656" s="17" t="s">
        <v>35</v>
      </c>
      <c r="F656" s="18">
        <v>45872</v>
      </c>
      <c r="G656">
        <v>20</v>
      </c>
      <c r="H656">
        <v>4.3</v>
      </c>
      <c r="I656">
        <f>IF(MONTH(calls[[#This Row],[Date of Call]])&lt;=6, YEAR(calls[[#This Row],[Date of Call]]), YEAR(calls[[#This Row],[Date of Call]])+1)</f>
        <v>2026</v>
      </c>
      <c r="J656" t="str">
        <f>TEXT(calls[[#This Row],[Date of Call]],"DDDD")</f>
        <v>Sunday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728</v>
      </c>
      <c r="C657" t="s">
        <v>48</v>
      </c>
      <c r="D657">
        <v>111</v>
      </c>
      <c r="E657" s="17" t="s">
        <v>36</v>
      </c>
      <c r="F657" s="18">
        <v>45872</v>
      </c>
      <c r="G657">
        <v>99</v>
      </c>
      <c r="H657">
        <v>4.0999999999999996</v>
      </c>
      <c r="I657">
        <f>IF(MONTH(calls[[#This Row],[Date of Call]])&lt;=6, YEAR(calls[[#This Row],[Date of Call]]), YEAR(calls[[#This Row],[Date of Call]])+1)</f>
        <v>2026</v>
      </c>
      <c r="J657" t="str">
        <f>TEXT(calls[[#This Row],[Date of Call]],"DDDD")</f>
        <v>Sunday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729</v>
      </c>
      <c r="C658" t="s">
        <v>52</v>
      </c>
      <c r="D658">
        <v>97</v>
      </c>
      <c r="E658" s="17" t="s">
        <v>35</v>
      </c>
      <c r="F658" s="18">
        <v>45873</v>
      </c>
      <c r="G658">
        <v>105</v>
      </c>
      <c r="H658">
        <v>2.9</v>
      </c>
      <c r="I658">
        <f>IF(MONTH(calls[[#This Row],[Date of Call]])&lt;=6, YEAR(calls[[#This Row],[Date of Call]]), YEAR(calls[[#This Row],[Date of Call]])+1)</f>
        <v>2026</v>
      </c>
      <c r="J658" t="str">
        <f>TEXT(calls[[#This Row],[Date of Call]],"DDDD")</f>
        <v>Monday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730</v>
      </c>
      <c r="C659" t="s">
        <v>53</v>
      </c>
      <c r="D659">
        <v>144</v>
      </c>
      <c r="E659" s="17" t="s">
        <v>37</v>
      </c>
      <c r="F659" s="18">
        <v>45873</v>
      </c>
      <c r="G659">
        <v>195</v>
      </c>
      <c r="H659">
        <v>3.4</v>
      </c>
      <c r="I659">
        <f>IF(MONTH(calls[[#This Row],[Date of Call]])&lt;=6, YEAR(calls[[#This Row],[Date of Call]]), YEAR(calls[[#This Row],[Date of Call]])+1)</f>
        <v>2026</v>
      </c>
      <c r="J659" t="str">
        <f>TEXT(calls[[#This Row],[Date of Call]],"DDDD")</f>
        <v>Monday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731</v>
      </c>
      <c r="C660" t="s">
        <v>56</v>
      </c>
      <c r="D660">
        <v>56</v>
      </c>
      <c r="E660" s="17" t="s">
        <v>35</v>
      </c>
      <c r="F660" s="18">
        <v>45874</v>
      </c>
      <c r="G660">
        <v>152</v>
      </c>
      <c r="H660">
        <v>4.5999999999999996</v>
      </c>
      <c r="I660">
        <f>IF(MONTH(calls[[#This Row],[Date of Call]])&lt;=6, YEAR(calls[[#This Row],[Date of Call]]), YEAR(calls[[#This Row],[Date of Call]])+1)</f>
        <v>2026</v>
      </c>
      <c r="J660" t="str">
        <f>TEXT(calls[[#This Row],[Date of Call]],"DDDD")</f>
        <v>Tuesday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732</v>
      </c>
      <c r="C661" t="s">
        <v>53</v>
      </c>
      <c r="D661">
        <v>132</v>
      </c>
      <c r="E661" s="17" t="s">
        <v>37</v>
      </c>
      <c r="F661" s="18">
        <v>45875</v>
      </c>
      <c r="G661">
        <v>195</v>
      </c>
      <c r="H661">
        <v>4.9000000000000004</v>
      </c>
      <c r="I661">
        <f>IF(MONTH(calls[[#This Row],[Date of Call]])&lt;=6, YEAR(calls[[#This Row],[Date of Call]]), YEAR(calls[[#This Row],[Date of Call]])+1)</f>
        <v>2026</v>
      </c>
      <c r="J661" t="str">
        <f>TEXT(calls[[#This Row],[Date of Call]],"DDDD")</f>
        <v>Wednesday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733</v>
      </c>
      <c r="C662" t="s">
        <v>50</v>
      </c>
      <c r="D662">
        <v>72</v>
      </c>
      <c r="E662" s="17" t="s">
        <v>34</v>
      </c>
      <c r="F662" s="18">
        <v>45875</v>
      </c>
      <c r="G662">
        <v>70</v>
      </c>
      <c r="H662">
        <v>3.6</v>
      </c>
      <c r="I662">
        <f>IF(MONTH(calls[[#This Row],[Date of Call]])&lt;=6, YEAR(calls[[#This Row],[Date of Call]]), YEAR(calls[[#This Row],[Date of Call]])+1)</f>
        <v>2026</v>
      </c>
      <c r="J662" t="str">
        <f>TEXT(calls[[#This Row],[Date of Call]],"DDDD")</f>
        <v>Wednesday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734</v>
      </c>
      <c r="C663" t="s">
        <v>48</v>
      </c>
      <c r="D663">
        <v>18</v>
      </c>
      <c r="E663" s="17" t="s">
        <v>34</v>
      </c>
      <c r="F663" s="18">
        <v>45875</v>
      </c>
      <c r="G663">
        <v>22</v>
      </c>
      <c r="H663">
        <v>3.5</v>
      </c>
      <c r="I663">
        <f>IF(MONTH(calls[[#This Row],[Date of Call]])&lt;=6, YEAR(calls[[#This Row],[Date of Call]]), YEAR(calls[[#This Row],[Date of Call]])+1)</f>
        <v>2026</v>
      </c>
      <c r="J663" t="str">
        <f>TEXT(calls[[#This Row],[Date of Call]],"DDDD")</f>
        <v>Wednesday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735</v>
      </c>
      <c r="C664" t="s">
        <v>47</v>
      </c>
      <c r="D664">
        <v>115</v>
      </c>
      <c r="E664" s="17" t="s">
        <v>36</v>
      </c>
      <c r="F664" s="18">
        <v>45876</v>
      </c>
      <c r="G664">
        <v>40</v>
      </c>
      <c r="H664">
        <v>3.3</v>
      </c>
      <c r="I664">
        <f>IF(MONTH(calls[[#This Row],[Date of Call]])&lt;=6, YEAR(calls[[#This Row],[Date of Call]]), YEAR(calls[[#This Row],[Date of Call]])+1)</f>
        <v>2026</v>
      </c>
      <c r="J664" t="str">
        <f>TEXT(calls[[#This Row],[Date of Call]],"DDDD")</f>
        <v>Thursday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736</v>
      </c>
      <c r="C665" t="s">
        <v>47</v>
      </c>
      <c r="D665">
        <v>124</v>
      </c>
      <c r="E665" s="17" t="s">
        <v>35</v>
      </c>
      <c r="F665" s="18">
        <v>45877</v>
      </c>
      <c r="G665">
        <v>54</v>
      </c>
      <c r="H665">
        <v>3.8</v>
      </c>
      <c r="I665">
        <f>IF(MONTH(calls[[#This Row],[Date of Call]])&lt;=6, YEAR(calls[[#This Row],[Date of Call]]), YEAR(calls[[#This Row],[Date of Call]])+1)</f>
        <v>2026</v>
      </c>
      <c r="J665" t="str">
        <f>TEXT(calls[[#This Row],[Date of Call]],"DDDD")</f>
        <v>Friday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737</v>
      </c>
      <c r="C666" t="s">
        <v>46</v>
      </c>
      <c r="D666">
        <v>130</v>
      </c>
      <c r="E666" s="17" t="s">
        <v>35</v>
      </c>
      <c r="F666" s="18">
        <v>45877</v>
      </c>
      <c r="G666">
        <v>60</v>
      </c>
      <c r="H666">
        <v>2.5</v>
      </c>
      <c r="I666">
        <f>IF(MONTH(calls[[#This Row],[Date of Call]])&lt;=6, YEAR(calls[[#This Row],[Date of Call]]), YEAR(calls[[#This Row],[Date of Call]])+1)</f>
        <v>2026</v>
      </c>
      <c r="J666" t="str">
        <f>TEXT(calls[[#This Row],[Date of Call]],"DDDD")</f>
        <v>Friday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738</v>
      </c>
      <c r="C667" t="s">
        <v>54</v>
      </c>
      <c r="D667">
        <v>120</v>
      </c>
      <c r="E667" s="17" t="s">
        <v>38</v>
      </c>
      <c r="F667" s="18">
        <v>45879</v>
      </c>
      <c r="G667">
        <v>58</v>
      </c>
      <c r="H667">
        <v>4.5999999999999996</v>
      </c>
      <c r="I667">
        <f>IF(MONTH(calls[[#This Row],[Date of Call]])&lt;=6, YEAR(calls[[#This Row],[Date of Call]]), YEAR(calls[[#This Row],[Date of Call]])+1)</f>
        <v>2026</v>
      </c>
      <c r="J667" t="str">
        <f>TEXT(calls[[#This Row],[Date of Call]],"DDDD")</f>
        <v>Sunday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739</v>
      </c>
      <c r="C668" t="s">
        <v>52</v>
      </c>
      <c r="D668">
        <v>75</v>
      </c>
      <c r="E668" s="17" t="s">
        <v>36</v>
      </c>
      <c r="F668" s="18">
        <v>45879</v>
      </c>
      <c r="G668">
        <v>220</v>
      </c>
      <c r="H668">
        <v>4.7</v>
      </c>
      <c r="I668">
        <f>IF(MONTH(calls[[#This Row],[Date of Call]])&lt;=6, YEAR(calls[[#This Row],[Date of Call]]), YEAR(calls[[#This Row],[Date of Call]])+1)</f>
        <v>2026</v>
      </c>
      <c r="J668" t="str">
        <f>TEXT(calls[[#This Row],[Date of Call]],"DDDD")</f>
        <v>Sunday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740</v>
      </c>
      <c r="C669" t="s">
        <v>45</v>
      </c>
      <c r="D669">
        <v>63</v>
      </c>
      <c r="E669" s="17" t="s">
        <v>36</v>
      </c>
      <c r="F669" s="18">
        <v>45879</v>
      </c>
      <c r="G669">
        <v>27</v>
      </c>
      <c r="H669">
        <v>3.6</v>
      </c>
      <c r="I669">
        <f>IF(MONTH(calls[[#This Row],[Date of Call]])&lt;=6, YEAR(calls[[#This Row],[Date of Call]]), YEAR(calls[[#This Row],[Date of Call]])+1)</f>
        <v>2026</v>
      </c>
      <c r="J669" t="str">
        <f>TEXT(calls[[#This Row],[Date of Call]],"DDDD")</f>
        <v>Sunday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741</v>
      </c>
      <c r="C670" t="s">
        <v>53</v>
      </c>
      <c r="D670">
        <v>74</v>
      </c>
      <c r="E670" s="17" t="s">
        <v>36</v>
      </c>
      <c r="F670" s="18">
        <v>45881</v>
      </c>
      <c r="G670">
        <v>26</v>
      </c>
      <c r="H670">
        <v>4.3</v>
      </c>
      <c r="I670">
        <f>IF(MONTH(calls[[#This Row],[Date of Call]])&lt;=6, YEAR(calls[[#This Row],[Date of Call]]), YEAR(calls[[#This Row],[Date of Call]])+1)</f>
        <v>2026</v>
      </c>
      <c r="J670" t="str">
        <f>TEXT(calls[[#This Row],[Date of Call]],"DDDD")</f>
        <v>Tuesday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742</v>
      </c>
      <c r="C671" t="s">
        <v>57</v>
      </c>
      <c r="D671">
        <v>134</v>
      </c>
      <c r="E671" s="17" t="s">
        <v>37</v>
      </c>
      <c r="F671" s="18">
        <v>45882</v>
      </c>
      <c r="G671">
        <v>160</v>
      </c>
      <c r="H671">
        <v>4.7</v>
      </c>
      <c r="I671">
        <f>IF(MONTH(calls[[#This Row],[Date of Call]])&lt;=6, YEAR(calls[[#This Row],[Date of Call]]), YEAR(calls[[#This Row],[Date of Call]])+1)</f>
        <v>2026</v>
      </c>
      <c r="J671" t="str">
        <f>TEXT(calls[[#This Row],[Date of Call]],"DDDD")</f>
        <v>Wednesday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743</v>
      </c>
      <c r="C672" t="s">
        <v>48</v>
      </c>
      <c r="D672">
        <v>103</v>
      </c>
      <c r="E672" s="17" t="s">
        <v>35</v>
      </c>
      <c r="F672" s="18">
        <v>45882</v>
      </c>
      <c r="G672">
        <v>200</v>
      </c>
      <c r="H672">
        <v>4.9000000000000004</v>
      </c>
      <c r="I672">
        <f>IF(MONTH(calls[[#This Row],[Date of Call]])&lt;=6, YEAR(calls[[#This Row],[Date of Call]]), YEAR(calls[[#This Row],[Date of Call]])+1)</f>
        <v>2026</v>
      </c>
      <c r="J672" t="str">
        <f>TEXT(calls[[#This Row],[Date of Call]],"DDDD")</f>
        <v>Wednesday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744</v>
      </c>
      <c r="C673" t="s">
        <v>48</v>
      </c>
      <c r="D673">
        <v>155</v>
      </c>
      <c r="E673" s="17" t="s">
        <v>38</v>
      </c>
      <c r="F673" s="18">
        <v>45885</v>
      </c>
      <c r="G673">
        <v>135</v>
      </c>
      <c r="H673">
        <v>4.9000000000000004</v>
      </c>
      <c r="I673">
        <f>IF(MONTH(calls[[#This Row],[Date of Call]])&lt;=6, YEAR(calls[[#This Row],[Date of Call]]), YEAR(calls[[#This Row],[Date of Call]])+1)</f>
        <v>2026</v>
      </c>
      <c r="J673" t="str">
        <f>TEXT(calls[[#This Row],[Date of Call]],"DDDD")</f>
        <v>Saturday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745</v>
      </c>
      <c r="C674" t="s">
        <v>45</v>
      </c>
      <c r="D674">
        <v>128</v>
      </c>
      <c r="E674" s="17" t="s">
        <v>35</v>
      </c>
      <c r="F674" s="18">
        <v>45886</v>
      </c>
      <c r="G674">
        <v>22</v>
      </c>
      <c r="H674">
        <v>1.9</v>
      </c>
      <c r="I674">
        <f>IF(MONTH(calls[[#This Row],[Date of Call]])&lt;=6, YEAR(calls[[#This Row],[Date of Call]]), YEAR(calls[[#This Row],[Date of Call]])+1)</f>
        <v>2026</v>
      </c>
      <c r="J674" t="str">
        <f>TEXT(calls[[#This Row],[Date of Call]],"DDDD")</f>
        <v>Sunday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746</v>
      </c>
      <c r="C675" t="s">
        <v>52</v>
      </c>
      <c r="D675">
        <v>89</v>
      </c>
      <c r="E675" s="17" t="s">
        <v>37</v>
      </c>
      <c r="F675" s="18">
        <v>45887</v>
      </c>
      <c r="G675">
        <v>164</v>
      </c>
      <c r="H675">
        <v>4.5</v>
      </c>
      <c r="I675">
        <f>IF(MONTH(calls[[#This Row],[Date of Call]])&lt;=6, YEAR(calls[[#This Row],[Date of Call]]), YEAR(calls[[#This Row],[Date of Call]])+1)</f>
        <v>2026</v>
      </c>
      <c r="J675" t="str">
        <f>TEXT(calls[[#This Row],[Date of Call]],"DDDD")</f>
        <v>Monday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747</v>
      </c>
      <c r="C676" t="s">
        <v>47</v>
      </c>
      <c r="D676">
        <v>81</v>
      </c>
      <c r="E676" s="17" t="s">
        <v>38</v>
      </c>
      <c r="F676" s="18">
        <v>45887</v>
      </c>
      <c r="G676">
        <v>21</v>
      </c>
      <c r="H676">
        <v>4.9000000000000004</v>
      </c>
      <c r="I676">
        <f>IF(MONTH(calls[[#This Row],[Date of Call]])&lt;=6, YEAR(calls[[#This Row],[Date of Call]]), YEAR(calls[[#This Row],[Date of Call]])+1)</f>
        <v>2026</v>
      </c>
      <c r="J676" t="str">
        <f>TEXT(calls[[#This Row],[Date of Call]],"DDDD")</f>
        <v>Monday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748</v>
      </c>
      <c r="C677" t="s">
        <v>52</v>
      </c>
      <c r="D677">
        <v>66</v>
      </c>
      <c r="E677" s="17" t="s">
        <v>37</v>
      </c>
      <c r="F677" s="18">
        <v>45888</v>
      </c>
      <c r="G677">
        <v>120</v>
      </c>
      <c r="H677">
        <v>4.5</v>
      </c>
      <c r="I677">
        <f>IF(MONTH(calls[[#This Row],[Date of Call]])&lt;=6, YEAR(calls[[#This Row],[Date of Call]]), YEAR(calls[[#This Row],[Date of Call]])+1)</f>
        <v>2026</v>
      </c>
      <c r="J677" t="str">
        <f>TEXT(calls[[#This Row],[Date of Call]],"DDDD")</f>
        <v>Tuesday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749</v>
      </c>
      <c r="C678" t="s">
        <v>50</v>
      </c>
      <c r="D678">
        <v>61</v>
      </c>
      <c r="E678" s="17" t="s">
        <v>34</v>
      </c>
      <c r="F678" s="18">
        <v>45888</v>
      </c>
      <c r="G678">
        <v>93</v>
      </c>
      <c r="H678">
        <v>2.7</v>
      </c>
      <c r="I678">
        <f>IF(MONTH(calls[[#This Row],[Date of Call]])&lt;=6, YEAR(calls[[#This Row],[Date of Call]]), YEAR(calls[[#This Row],[Date of Call]])+1)</f>
        <v>2026</v>
      </c>
      <c r="J678" t="str">
        <f>TEXT(calls[[#This Row],[Date of Call]],"DDDD")</f>
        <v>Tuesday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750</v>
      </c>
      <c r="C679" t="s">
        <v>47</v>
      </c>
      <c r="D679">
        <v>128</v>
      </c>
      <c r="E679" s="17" t="s">
        <v>34</v>
      </c>
      <c r="F679" s="18">
        <v>45888</v>
      </c>
      <c r="G679">
        <v>135</v>
      </c>
      <c r="H679">
        <v>2.1</v>
      </c>
      <c r="I679">
        <f>IF(MONTH(calls[[#This Row],[Date of Call]])&lt;=6, YEAR(calls[[#This Row],[Date of Call]]), YEAR(calls[[#This Row],[Date of Call]])+1)</f>
        <v>2026</v>
      </c>
      <c r="J679" t="str">
        <f>TEXT(calls[[#This Row],[Date of Call]],"DDDD")</f>
        <v>Tuesday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751</v>
      </c>
      <c r="C680" t="s">
        <v>48</v>
      </c>
      <c r="D680">
        <v>30</v>
      </c>
      <c r="E680" s="17" t="s">
        <v>38</v>
      </c>
      <c r="F680" s="18">
        <v>45888</v>
      </c>
      <c r="G680">
        <v>210</v>
      </c>
      <c r="H680">
        <v>4.2</v>
      </c>
      <c r="I680">
        <f>IF(MONTH(calls[[#This Row],[Date of Call]])&lt;=6, YEAR(calls[[#This Row],[Date of Call]]), YEAR(calls[[#This Row],[Date of Call]])+1)</f>
        <v>2026</v>
      </c>
      <c r="J680" t="str">
        <f>TEXT(calls[[#This Row],[Date of Call]],"DDDD")</f>
        <v>Tuesday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752</v>
      </c>
      <c r="C681" t="s">
        <v>51</v>
      </c>
      <c r="D681">
        <v>63</v>
      </c>
      <c r="E681" s="17" t="s">
        <v>34</v>
      </c>
      <c r="F681" s="18">
        <v>45889</v>
      </c>
      <c r="G681">
        <v>29</v>
      </c>
      <c r="H681">
        <v>4.7</v>
      </c>
      <c r="I681">
        <f>IF(MONTH(calls[[#This Row],[Date of Call]])&lt;=6, YEAR(calls[[#This Row],[Date of Call]]), YEAR(calls[[#This Row],[Date of Call]])+1)</f>
        <v>2026</v>
      </c>
      <c r="J681" t="str">
        <f>TEXT(calls[[#This Row],[Date of Call]],"DDDD")</f>
        <v>Wednesday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753</v>
      </c>
      <c r="C682" t="s">
        <v>49</v>
      </c>
      <c r="D682">
        <v>64</v>
      </c>
      <c r="E682" s="17" t="s">
        <v>36</v>
      </c>
      <c r="F682" s="18">
        <v>45889</v>
      </c>
      <c r="G682">
        <v>111</v>
      </c>
      <c r="H682">
        <v>3.9</v>
      </c>
      <c r="I682">
        <f>IF(MONTH(calls[[#This Row],[Date of Call]])&lt;=6, YEAR(calls[[#This Row],[Date of Call]]), YEAR(calls[[#This Row],[Date of Call]])+1)</f>
        <v>2026</v>
      </c>
      <c r="J682" t="str">
        <f>TEXT(calls[[#This Row],[Date of Call]],"DDDD")</f>
        <v>Wednesday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754</v>
      </c>
      <c r="C683" t="s">
        <v>59</v>
      </c>
      <c r="D683">
        <v>151</v>
      </c>
      <c r="E683" s="17" t="s">
        <v>35</v>
      </c>
      <c r="F683" s="18">
        <v>45890</v>
      </c>
      <c r="G683">
        <v>63</v>
      </c>
      <c r="H683">
        <v>4.0999999999999996</v>
      </c>
      <c r="I683">
        <f>IF(MONTH(calls[[#This Row],[Date of Call]])&lt;=6, YEAR(calls[[#This Row],[Date of Call]]), YEAR(calls[[#This Row],[Date of Call]])+1)</f>
        <v>2026</v>
      </c>
      <c r="J683" t="str">
        <f>TEXT(calls[[#This Row],[Date of Call]],"DDDD")</f>
        <v>Thursday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755</v>
      </c>
      <c r="C684" t="s">
        <v>55</v>
      </c>
      <c r="D684">
        <v>116</v>
      </c>
      <c r="E684" s="17" t="s">
        <v>37</v>
      </c>
      <c r="F684" s="18">
        <v>45890</v>
      </c>
      <c r="G684">
        <v>44</v>
      </c>
      <c r="H684">
        <v>3.8</v>
      </c>
      <c r="I684">
        <f>IF(MONTH(calls[[#This Row],[Date of Call]])&lt;=6, YEAR(calls[[#This Row],[Date of Call]]), YEAR(calls[[#This Row],[Date of Call]])+1)</f>
        <v>2026</v>
      </c>
      <c r="J684" t="str">
        <f>TEXT(calls[[#This Row],[Date of Call]],"DDDD")</f>
        <v>Thursday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756</v>
      </c>
      <c r="C685" t="s">
        <v>59</v>
      </c>
      <c r="D685">
        <v>111</v>
      </c>
      <c r="E685" s="17" t="s">
        <v>37</v>
      </c>
      <c r="F685" s="18">
        <v>45892</v>
      </c>
      <c r="G685">
        <v>120</v>
      </c>
      <c r="H685">
        <v>1.8</v>
      </c>
      <c r="I685">
        <f>IF(MONTH(calls[[#This Row],[Date of Call]])&lt;=6, YEAR(calls[[#This Row],[Date of Call]]), YEAR(calls[[#This Row],[Date of Call]])+1)</f>
        <v>2026</v>
      </c>
      <c r="J685" t="str">
        <f>TEXT(calls[[#This Row],[Date of Call]],"DDDD")</f>
        <v>Saturday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757</v>
      </c>
      <c r="C686" t="s">
        <v>47</v>
      </c>
      <c r="D686">
        <v>15</v>
      </c>
      <c r="E686" s="17" t="s">
        <v>37</v>
      </c>
      <c r="F686" s="18">
        <v>45892</v>
      </c>
      <c r="G686">
        <v>120</v>
      </c>
      <c r="H686">
        <v>4.0999999999999996</v>
      </c>
      <c r="I686">
        <f>IF(MONTH(calls[[#This Row],[Date of Call]])&lt;=6, YEAR(calls[[#This Row],[Date of Call]]), YEAR(calls[[#This Row],[Date of Call]])+1)</f>
        <v>2026</v>
      </c>
      <c r="J686" t="str">
        <f>TEXT(calls[[#This Row],[Date of Call]],"DDDD")</f>
        <v>Saturday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758</v>
      </c>
      <c r="C687" t="s">
        <v>49</v>
      </c>
      <c r="D687">
        <v>18</v>
      </c>
      <c r="E687" s="17" t="s">
        <v>35</v>
      </c>
      <c r="F687" s="18">
        <v>45893</v>
      </c>
      <c r="G687">
        <v>40</v>
      </c>
      <c r="H687">
        <v>4.4000000000000004</v>
      </c>
      <c r="I687">
        <f>IF(MONTH(calls[[#This Row],[Date of Call]])&lt;=6, YEAR(calls[[#This Row],[Date of Call]]), YEAR(calls[[#This Row],[Date of Call]])+1)</f>
        <v>2026</v>
      </c>
      <c r="J687" t="str">
        <f>TEXT(calls[[#This Row],[Date of Call]],"DDDD")</f>
        <v>Sunday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759</v>
      </c>
      <c r="C688" t="s">
        <v>50</v>
      </c>
      <c r="D688">
        <v>146</v>
      </c>
      <c r="E688" s="17" t="s">
        <v>34</v>
      </c>
      <c r="F688" s="18">
        <v>45893</v>
      </c>
      <c r="G688">
        <v>160</v>
      </c>
      <c r="H688">
        <v>4.0999999999999996</v>
      </c>
      <c r="I688">
        <f>IF(MONTH(calls[[#This Row],[Date of Call]])&lt;=6, YEAR(calls[[#This Row],[Date of Call]]), YEAR(calls[[#This Row],[Date of Call]])+1)</f>
        <v>2026</v>
      </c>
      <c r="J688" t="str">
        <f>TEXT(calls[[#This Row],[Date of Call]],"DDDD")</f>
        <v>Sunday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760</v>
      </c>
      <c r="C689" t="s">
        <v>48</v>
      </c>
      <c r="D689">
        <v>73</v>
      </c>
      <c r="E689" s="17" t="s">
        <v>37</v>
      </c>
      <c r="F689" s="18">
        <v>45894</v>
      </c>
      <c r="G689">
        <v>44</v>
      </c>
      <c r="H689">
        <v>3.8</v>
      </c>
      <c r="I689">
        <f>IF(MONTH(calls[[#This Row],[Date of Call]])&lt;=6, YEAR(calls[[#This Row],[Date of Call]]), YEAR(calls[[#This Row],[Date of Call]])+1)</f>
        <v>2026</v>
      </c>
      <c r="J689" t="str">
        <f>TEXT(calls[[#This Row],[Date of Call]],"DDDD")</f>
        <v>Monday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761</v>
      </c>
      <c r="C690" t="s">
        <v>59</v>
      </c>
      <c r="D690">
        <v>108</v>
      </c>
      <c r="E690" s="17" t="s">
        <v>35</v>
      </c>
      <c r="F690" s="18">
        <v>45894</v>
      </c>
      <c r="G690">
        <v>80</v>
      </c>
      <c r="H690">
        <v>4.3</v>
      </c>
      <c r="I690">
        <f>IF(MONTH(calls[[#This Row],[Date of Call]])&lt;=6, YEAR(calls[[#This Row],[Date of Call]]), YEAR(calls[[#This Row],[Date of Call]])+1)</f>
        <v>2026</v>
      </c>
      <c r="J690" t="str">
        <f>TEXT(calls[[#This Row],[Date of Call]],"DDDD")</f>
        <v>Monday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762</v>
      </c>
      <c r="C691" t="s">
        <v>57</v>
      </c>
      <c r="D691">
        <v>52</v>
      </c>
      <c r="E691" s="17" t="s">
        <v>35</v>
      </c>
      <c r="F691" s="18">
        <v>45895</v>
      </c>
      <c r="G691">
        <v>66</v>
      </c>
      <c r="H691">
        <v>4.5</v>
      </c>
      <c r="I691">
        <f>IF(MONTH(calls[[#This Row],[Date of Call]])&lt;=6, YEAR(calls[[#This Row],[Date of Call]]), YEAR(calls[[#This Row],[Date of Call]])+1)</f>
        <v>2026</v>
      </c>
      <c r="J691" t="str">
        <f>TEXT(calls[[#This Row],[Date of Call]],"DDDD")</f>
        <v>Tuesday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763</v>
      </c>
      <c r="C692" t="s">
        <v>55</v>
      </c>
      <c r="D692">
        <v>165</v>
      </c>
      <c r="E692" s="17" t="s">
        <v>36</v>
      </c>
      <c r="F692" s="18">
        <v>45895</v>
      </c>
      <c r="G692">
        <v>82</v>
      </c>
      <c r="H692">
        <v>3.4</v>
      </c>
      <c r="I692">
        <f>IF(MONTH(calls[[#This Row],[Date of Call]])&lt;=6, YEAR(calls[[#This Row],[Date of Call]]), YEAR(calls[[#This Row],[Date of Call]])+1)</f>
        <v>2026</v>
      </c>
      <c r="J692" t="str">
        <f>TEXT(calls[[#This Row],[Date of Call]],"DDDD")</f>
        <v>Tuesday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764</v>
      </c>
      <c r="C693" t="s">
        <v>50</v>
      </c>
      <c r="D693">
        <v>104</v>
      </c>
      <c r="E693" s="17" t="s">
        <v>37</v>
      </c>
      <c r="F693" s="18">
        <v>45895</v>
      </c>
      <c r="G693">
        <v>66</v>
      </c>
      <c r="H693">
        <v>4.8</v>
      </c>
      <c r="I693">
        <f>IF(MONTH(calls[[#This Row],[Date of Call]])&lt;=6, YEAR(calls[[#This Row],[Date of Call]]), YEAR(calls[[#This Row],[Date of Call]])+1)</f>
        <v>2026</v>
      </c>
      <c r="J693" t="str">
        <f>TEXT(calls[[#This Row],[Date of Call]],"DDDD")</f>
        <v>Tuesday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765</v>
      </c>
      <c r="C694" t="s">
        <v>48</v>
      </c>
      <c r="D694">
        <v>131</v>
      </c>
      <c r="E694" s="17" t="s">
        <v>34</v>
      </c>
      <c r="F694" s="18">
        <v>45895</v>
      </c>
      <c r="G694">
        <v>92</v>
      </c>
      <c r="H694">
        <v>4.9000000000000004</v>
      </c>
      <c r="I694">
        <f>IF(MONTH(calls[[#This Row],[Date of Call]])&lt;=6, YEAR(calls[[#This Row],[Date of Call]]), YEAR(calls[[#This Row],[Date of Call]])+1)</f>
        <v>2026</v>
      </c>
      <c r="J694" t="str">
        <f>TEXT(calls[[#This Row],[Date of Call]],"DDDD")</f>
        <v>Tuesday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766</v>
      </c>
      <c r="C695" t="s">
        <v>54</v>
      </c>
      <c r="D695">
        <v>80</v>
      </c>
      <c r="E695" s="17" t="s">
        <v>36</v>
      </c>
      <c r="F695" s="18">
        <v>45896</v>
      </c>
      <c r="G695">
        <v>104</v>
      </c>
      <c r="H695">
        <v>4.7</v>
      </c>
      <c r="I695">
        <f>IF(MONTH(calls[[#This Row],[Date of Call]])&lt;=6, YEAR(calls[[#This Row],[Date of Call]]), YEAR(calls[[#This Row],[Date of Call]])+1)</f>
        <v>2026</v>
      </c>
      <c r="J695" t="str">
        <f>TEXT(calls[[#This Row],[Date of Call]],"DDDD")</f>
        <v>Wednesday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767</v>
      </c>
      <c r="C696" t="s">
        <v>47</v>
      </c>
      <c r="D696">
        <v>49</v>
      </c>
      <c r="E696" s="17" t="s">
        <v>37</v>
      </c>
      <c r="F696" s="18">
        <v>45896</v>
      </c>
      <c r="G696">
        <v>105</v>
      </c>
      <c r="H696">
        <v>3.3</v>
      </c>
      <c r="I696">
        <f>IF(MONTH(calls[[#This Row],[Date of Call]])&lt;=6, YEAR(calls[[#This Row],[Date of Call]]), YEAR(calls[[#This Row],[Date of Call]])+1)</f>
        <v>2026</v>
      </c>
      <c r="J696" t="str">
        <f>TEXT(calls[[#This Row],[Date of Call]],"DDDD")</f>
        <v>Wednesday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768</v>
      </c>
      <c r="C697" t="s">
        <v>55</v>
      </c>
      <c r="D697">
        <v>73</v>
      </c>
      <c r="E697" s="17" t="s">
        <v>37</v>
      </c>
      <c r="F697" s="18">
        <v>45896</v>
      </c>
      <c r="G697">
        <v>100</v>
      </c>
      <c r="H697">
        <v>2.8</v>
      </c>
      <c r="I697">
        <f>IF(MONTH(calls[[#This Row],[Date of Call]])&lt;=6, YEAR(calls[[#This Row],[Date of Call]]), YEAR(calls[[#This Row],[Date of Call]])+1)</f>
        <v>2026</v>
      </c>
      <c r="J697" t="str">
        <f>TEXT(calls[[#This Row],[Date of Call]],"DDDD")</f>
        <v>Wednesday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769</v>
      </c>
      <c r="C698" t="s">
        <v>50</v>
      </c>
      <c r="D698">
        <v>117</v>
      </c>
      <c r="E698" s="17" t="s">
        <v>36</v>
      </c>
      <c r="F698" s="18">
        <v>45896</v>
      </c>
      <c r="G698">
        <v>90</v>
      </c>
      <c r="H698">
        <v>4.0999999999999996</v>
      </c>
      <c r="I698">
        <f>IF(MONTH(calls[[#This Row],[Date of Call]])&lt;=6, YEAR(calls[[#This Row],[Date of Call]]), YEAR(calls[[#This Row],[Date of Call]])+1)</f>
        <v>2026</v>
      </c>
      <c r="J698" t="str">
        <f>TEXT(calls[[#This Row],[Date of Call]],"DDDD")</f>
        <v>Wednesday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770</v>
      </c>
      <c r="C699" t="s">
        <v>56</v>
      </c>
      <c r="D699">
        <v>38</v>
      </c>
      <c r="E699" s="17" t="s">
        <v>38</v>
      </c>
      <c r="F699" s="18">
        <v>45896</v>
      </c>
      <c r="G699">
        <v>110</v>
      </c>
      <c r="H699">
        <v>3.5</v>
      </c>
      <c r="I699">
        <f>IF(MONTH(calls[[#This Row],[Date of Call]])&lt;=6, YEAR(calls[[#This Row],[Date of Call]]), YEAR(calls[[#This Row],[Date of Call]])+1)</f>
        <v>2026</v>
      </c>
      <c r="J699" t="str">
        <f>TEXT(calls[[#This Row],[Date of Call]],"DDDD")</f>
        <v>Wednesday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771</v>
      </c>
      <c r="C700" t="s">
        <v>57</v>
      </c>
      <c r="D700">
        <v>109</v>
      </c>
      <c r="E700" s="17" t="s">
        <v>36</v>
      </c>
      <c r="F700" s="18">
        <v>45898</v>
      </c>
      <c r="G700">
        <v>68</v>
      </c>
      <c r="H700">
        <v>2.2999999999999998</v>
      </c>
      <c r="I700">
        <f>IF(MONTH(calls[[#This Row],[Date of Call]])&lt;=6, YEAR(calls[[#This Row],[Date of Call]]), YEAR(calls[[#This Row],[Date of Call]])+1)</f>
        <v>2026</v>
      </c>
      <c r="J700" t="str">
        <f>TEXT(calls[[#This Row],[Date of Call]],"DDDD")</f>
        <v>Friday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772</v>
      </c>
      <c r="C701" t="s">
        <v>47</v>
      </c>
      <c r="D701">
        <v>70</v>
      </c>
      <c r="E701" s="17" t="s">
        <v>35</v>
      </c>
      <c r="F701" s="18">
        <v>45899</v>
      </c>
      <c r="G701">
        <v>210</v>
      </c>
      <c r="H701">
        <v>4.0999999999999996</v>
      </c>
      <c r="I701">
        <f>IF(MONTH(calls[[#This Row],[Date of Call]])&lt;=6, YEAR(calls[[#This Row],[Date of Call]]), YEAR(calls[[#This Row],[Date of Call]])+1)</f>
        <v>2026</v>
      </c>
      <c r="J701" t="str">
        <f>TEXT(calls[[#This Row],[Date of Call]],"DDDD")</f>
        <v>Saturday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773</v>
      </c>
      <c r="C702" t="s">
        <v>46</v>
      </c>
      <c r="D702">
        <v>51</v>
      </c>
      <c r="E702" s="17" t="s">
        <v>38</v>
      </c>
      <c r="F702" s="18">
        <v>45899</v>
      </c>
      <c r="G702">
        <v>111</v>
      </c>
      <c r="H702">
        <v>4.3</v>
      </c>
      <c r="I702">
        <f>IF(MONTH(calls[[#This Row],[Date of Call]])&lt;=6, YEAR(calls[[#This Row],[Date of Call]]), YEAR(calls[[#This Row],[Date of Call]])+1)</f>
        <v>2026</v>
      </c>
      <c r="J702" t="str">
        <f>TEXT(calls[[#This Row],[Date of Call]],"DDDD")</f>
        <v>Saturday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774</v>
      </c>
      <c r="C703" t="s">
        <v>46</v>
      </c>
      <c r="D703">
        <v>100</v>
      </c>
      <c r="E703" s="17" t="s">
        <v>35</v>
      </c>
      <c r="F703" s="18">
        <v>45900</v>
      </c>
      <c r="G703">
        <v>45</v>
      </c>
      <c r="H703">
        <v>4.9000000000000004</v>
      </c>
      <c r="I703">
        <f>IF(MONTH(calls[[#This Row],[Date of Call]])&lt;=6, YEAR(calls[[#This Row],[Date of Call]]), YEAR(calls[[#This Row],[Date of Call]])+1)</f>
        <v>2026</v>
      </c>
      <c r="J703" t="str">
        <f>TEXT(calls[[#This Row],[Date of Call]],"DDDD")</f>
        <v>Sunday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775</v>
      </c>
      <c r="C704" t="s">
        <v>53</v>
      </c>
      <c r="D704">
        <v>124</v>
      </c>
      <c r="E704" s="17" t="s">
        <v>38</v>
      </c>
      <c r="F704" s="18">
        <v>45901</v>
      </c>
      <c r="G704">
        <v>132</v>
      </c>
      <c r="H704">
        <v>4</v>
      </c>
      <c r="I704">
        <f>IF(MONTH(calls[[#This Row],[Date of Call]])&lt;=6, YEAR(calls[[#This Row],[Date of Call]]), YEAR(calls[[#This Row],[Date of Call]])+1)</f>
        <v>2026</v>
      </c>
      <c r="J704" t="str">
        <f>TEXT(calls[[#This Row],[Date of Call]],"DDDD")</f>
        <v>Monday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776</v>
      </c>
      <c r="C705" t="s">
        <v>45</v>
      </c>
      <c r="D705">
        <v>143</v>
      </c>
      <c r="E705" s="17" t="s">
        <v>36</v>
      </c>
      <c r="F705" s="18">
        <v>45901</v>
      </c>
      <c r="G705">
        <v>20</v>
      </c>
      <c r="H705">
        <v>4.7</v>
      </c>
      <c r="I705">
        <f>IF(MONTH(calls[[#This Row],[Date of Call]])&lt;=6, YEAR(calls[[#This Row],[Date of Call]]), YEAR(calls[[#This Row],[Date of Call]])+1)</f>
        <v>2026</v>
      </c>
      <c r="J705" t="str">
        <f>TEXT(calls[[#This Row],[Date of Call]],"DDDD")</f>
        <v>Monday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777</v>
      </c>
      <c r="C706" t="s">
        <v>52</v>
      </c>
      <c r="D706">
        <v>96</v>
      </c>
      <c r="E706" s="17" t="s">
        <v>37</v>
      </c>
      <c r="F706" s="18">
        <v>45901</v>
      </c>
      <c r="G706">
        <v>36</v>
      </c>
      <c r="H706">
        <v>3.4</v>
      </c>
      <c r="I706">
        <f>IF(MONTH(calls[[#This Row],[Date of Call]])&lt;=6, YEAR(calls[[#This Row],[Date of Call]]), YEAR(calls[[#This Row],[Date of Call]])+1)</f>
        <v>2026</v>
      </c>
      <c r="J706" t="str">
        <f>TEXT(calls[[#This Row],[Date of Call]],"DDDD")</f>
        <v>Monday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778</v>
      </c>
      <c r="C707" t="s">
        <v>55</v>
      </c>
      <c r="D707">
        <v>84</v>
      </c>
      <c r="E707" s="17" t="s">
        <v>35</v>
      </c>
      <c r="F707" s="18">
        <v>45903</v>
      </c>
      <c r="G707">
        <v>72</v>
      </c>
      <c r="H707">
        <v>4</v>
      </c>
      <c r="I707">
        <f>IF(MONTH(calls[[#This Row],[Date of Call]])&lt;=6, YEAR(calls[[#This Row],[Date of Call]]), YEAR(calls[[#This Row],[Date of Call]])+1)</f>
        <v>2026</v>
      </c>
      <c r="J707" t="str">
        <f>TEXT(calls[[#This Row],[Date of Call]],"DDDD")</f>
        <v>Wednesday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779</v>
      </c>
      <c r="C708" t="s">
        <v>58</v>
      </c>
      <c r="D708">
        <v>111</v>
      </c>
      <c r="E708" s="17" t="s">
        <v>35</v>
      </c>
      <c r="F708" s="18">
        <v>45903</v>
      </c>
      <c r="G708">
        <v>63</v>
      </c>
      <c r="H708">
        <v>4.5</v>
      </c>
      <c r="I708">
        <f>IF(MONTH(calls[[#This Row],[Date of Call]])&lt;=6, YEAR(calls[[#This Row],[Date of Call]]), YEAR(calls[[#This Row],[Date of Call]])+1)</f>
        <v>2026</v>
      </c>
      <c r="J708" t="str">
        <f>TEXT(calls[[#This Row],[Date of Call]],"DDDD")</f>
        <v>Wednesday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780</v>
      </c>
      <c r="C709" t="s">
        <v>58</v>
      </c>
      <c r="D709">
        <v>103</v>
      </c>
      <c r="E709" s="17" t="s">
        <v>38</v>
      </c>
      <c r="F709" s="18">
        <v>45904</v>
      </c>
      <c r="G709">
        <v>44</v>
      </c>
      <c r="H709">
        <v>4.5</v>
      </c>
      <c r="I709">
        <f>IF(MONTH(calls[[#This Row],[Date of Call]])&lt;=6, YEAR(calls[[#This Row],[Date of Call]]), YEAR(calls[[#This Row],[Date of Call]])+1)</f>
        <v>2026</v>
      </c>
      <c r="J709" t="str">
        <f>TEXT(calls[[#This Row],[Date of Call]],"DDDD")</f>
        <v>Thursday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781</v>
      </c>
      <c r="C710" t="s">
        <v>45</v>
      </c>
      <c r="D710">
        <v>61</v>
      </c>
      <c r="E710" s="17" t="s">
        <v>34</v>
      </c>
      <c r="F710" s="18">
        <v>45904</v>
      </c>
      <c r="G710">
        <v>132</v>
      </c>
      <c r="H710">
        <v>4.9000000000000004</v>
      </c>
      <c r="I710">
        <f>IF(MONTH(calls[[#This Row],[Date of Call]])&lt;=6, YEAR(calls[[#This Row],[Date of Call]]), YEAR(calls[[#This Row],[Date of Call]])+1)</f>
        <v>2026</v>
      </c>
      <c r="J710" t="str">
        <f>TEXT(calls[[#This Row],[Date of Call]],"DDDD")</f>
        <v>Thursday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782</v>
      </c>
      <c r="C711" t="s">
        <v>48</v>
      </c>
      <c r="D711">
        <v>113</v>
      </c>
      <c r="E711" s="17" t="s">
        <v>37</v>
      </c>
      <c r="F711" s="18">
        <v>45904</v>
      </c>
      <c r="G711">
        <v>46</v>
      </c>
      <c r="H711">
        <v>4.4000000000000004</v>
      </c>
      <c r="I711">
        <f>IF(MONTH(calls[[#This Row],[Date of Call]])&lt;=6, YEAR(calls[[#This Row],[Date of Call]]), YEAR(calls[[#This Row],[Date of Call]])+1)</f>
        <v>2026</v>
      </c>
      <c r="J711" t="str">
        <f>TEXT(calls[[#This Row],[Date of Call]],"DDDD")</f>
        <v>Thursday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783</v>
      </c>
      <c r="C712" t="s">
        <v>48</v>
      </c>
      <c r="D712">
        <v>96</v>
      </c>
      <c r="E712" s="17" t="s">
        <v>37</v>
      </c>
      <c r="F712" s="18">
        <v>45904</v>
      </c>
      <c r="G712">
        <v>96</v>
      </c>
      <c r="H712">
        <v>2.9</v>
      </c>
      <c r="I712">
        <f>IF(MONTH(calls[[#This Row],[Date of Call]])&lt;=6, YEAR(calls[[#This Row],[Date of Call]]), YEAR(calls[[#This Row],[Date of Call]])+1)</f>
        <v>2026</v>
      </c>
      <c r="J712" t="str">
        <f>TEXT(calls[[#This Row],[Date of Call]],"DDDD")</f>
        <v>Thursday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784</v>
      </c>
      <c r="C713" t="s">
        <v>49</v>
      </c>
      <c r="D713">
        <v>131</v>
      </c>
      <c r="E713" s="17" t="s">
        <v>38</v>
      </c>
      <c r="F713" s="18">
        <v>45905</v>
      </c>
      <c r="G713">
        <v>75</v>
      </c>
      <c r="H713">
        <v>4.4000000000000004</v>
      </c>
      <c r="I713">
        <f>IF(MONTH(calls[[#This Row],[Date of Call]])&lt;=6, YEAR(calls[[#This Row],[Date of Call]]), YEAR(calls[[#This Row],[Date of Call]])+1)</f>
        <v>2026</v>
      </c>
      <c r="J713" t="str">
        <f>TEXT(calls[[#This Row],[Date of Call]],"DDDD")</f>
        <v>Friday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785</v>
      </c>
      <c r="C714" t="s">
        <v>50</v>
      </c>
      <c r="D714">
        <v>52</v>
      </c>
      <c r="E714" s="17" t="s">
        <v>37</v>
      </c>
      <c r="F714" s="18">
        <v>45906</v>
      </c>
      <c r="G714">
        <v>88</v>
      </c>
      <c r="H714">
        <v>4.3</v>
      </c>
      <c r="I714">
        <f>IF(MONTH(calls[[#This Row],[Date of Call]])&lt;=6, YEAR(calls[[#This Row],[Date of Call]]), YEAR(calls[[#This Row],[Date of Call]])+1)</f>
        <v>2026</v>
      </c>
      <c r="J714" t="str">
        <f>TEXT(calls[[#This Row],[Date of Call]],"DDDD")</f>
        <v>Saturday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786</v>
      </c>
      <c r="C715" t="s">
        <v>46</v>
      </c>
      <c r="D715">
        <v>100</v>
      </c>
      <c r="E715" s="17" t="s">
        <v>38</v>
      </c>
      <c r="F715" s="18">
        <v>45906</v>
      </c>
      <c r="G715">
        <v>24</v>
      </c>
      <c r="H715">
        <v>4.7</v>
      </c>
      <c r="I715">
        <f>IF(MONTH(calls[[#This Row],[Date of Call]])&lt;=6, YEAR(calls[[#This Row],[Date of Call]]), YEAR(calls[[#This Row],[Date of Call]])+1)</f>
        <v>2026</v>
      </c>
      <c r="J715" t="str">
        <f>TEXT(calls[[#This Row],[Date of Call]],"DDDD")</f>
        <v>Saturday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787</v>
      </c>
      <c r="C716" t="s">
        <v>59</v>
      </c>
      <c r="D716">
        <v>58</v>
      </c>
      <c r="E716" s="17" t="s">
        <v>36</v>
      </c>
      <c r="F716" s="18">
        <v>45906</v>
      </c>
      <c r="G716">
        <v>96</v>
      </c>
      <c r="H716">
        <v>3.2</v>
      </c>
      <c r="I716">
        <f>IF(MONTH(calls[[#This Row],[Date of Call]])&lt;=6, YEAR(calls[[#This Row],[Date of Call]]), YEAR(calls[[#This Row],[Date of Call]])+1)</f>
        <v>2026</v>
      </c>
      <c r="J716" t="str">
        <f>TEXT(calls[[#This Row],[Date of Call]],"DDDD")</f>
        <v>Saturday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788</v>
      </c>
      <c r="C717" t="s">
        <v>47</v>
      </c>
      <c r="D717">
        <v>144</v>
      </c>
      <c r="E717" s="17" t="s">
        <v>36</v>
      </c>
      <c r="F717" s="18">
        <v>45907</v>
      </c>
      <c r="G717">
        <v>124</v>
      </c>
      <c r="H717">
        <v>2.2999999999999998</v>
      </c>
      <c r="I717">
        <f>IF(MONTH(calls[[#This Row],[Date of Call]])&lt;=6, YEAR(calls[[#This Row],[Date of Call]]), YEAR(calls[[#This Row],[Date of Call]])+1)</f>
        <v>2026</v>
      </c>
      <c r="J717" t="str">
        <f>TEXT(calls[[#This Row],[Date of Call]],"DDDD")</f>
        <v>Sunday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789</v>
      </c>
      <c r="C718" t="s">
        <v>59</v>
      </c>
      <c r="D718">
        <v>53</v>
      </c>
      <c r="E718" s="17" t="s">
        <v>34</v>
      </c>
      <c r="F718" s="18">
        <v>45908</v>
      </c>
      <c r="G718">
        <v>130</v>
      </c>
      <c r="H718">
        <v>3.6</v>
      </c>
      <c r="I718">
        <f>IF(MONTH(calls[[#This Row],[Date of Call]])&lt;=6, YEAR(calls[[#This Row],[Date of Call]]), YEAR(calls[[#This Row],[Date of Call]])+1)</f>
        <v>2026</v>
      </c>
      <c r="J718" t="str">
        <f>TEXT(calls[[#This Row],[Date of Call]],"DDDD")</f>
        <v>Monday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790</v>
      </c>
      <c r="C719" t="s">
        <v>48</v>
      </c>
      <c r="D719">
        <v>97</v>
      </c>
      <c r="E719" s="17" t="s">
        <v>35</v>
      </c>
      <c r="F719" s="18">
        <v>45908</v>
      </c>
      <c r="G719">
        <v>45</v>
      </c>
      <c r="H719">
        <v>4.5999999999999996</v>
      </c>
      <c r="I719">
        <f>IF(MONTH(calls[[#This Row],[Date of Call]])&lt;=6, YEAR(calls[[#This Row],[Date of Call]]), YEAR(calls[[#This Row],[Date of Call]])+1)</f>
        <v>2026</v>
      </c>
      <c r="J719" t="str">
        <f>TEXT(calls[[#This Row],[Date of Call]],"DDDD")</f>
        <v>Monday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791</v>
      </c>
      <c r="C720" t="s">
        <v>56</v>
      </c>
      <c r="D720">
        <v>64</v>
      </c>
      <c r="E720" s="17" t="s">
        <v>36</v>
      </c>
      <c r="F720" s="18">
        <v>45908</v>
      </c>
      <c r="G720">
        <v>66</v>
      </c>
      <c r="H720">
        <v>4</v>
      </c>
      <c r="I720">
        <f>IF(MONTH(calls[[#This Row],[Date of Call]])&lt;=6, YEAR(calls[[#This Row],[Date of Call]]), YEAR(calls[[#This Row],[Date of Call]])+1)</f>
        <v>2026</v>
      </c>
      <c r="J720" t="str">
        <f>TEXT(calls[[#This Row],[Date of Call]],"DDDD")</f>
        <v>Monday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792</v>
      </c>
      <c r="C721" t="s">
        <v>45</v>
      </c>
      <c r="D721">
        <v>106</v>
      </c>
      <c r="E721" s="17" t="s">
        <v>38</v>
      </c>
      <c r="F721" s="18">
        <v>45908</v>
      </c>
      <c r="G721">
        <v>58</v>
      </c>
      <c r="H721">
        <v>4.7</v>
      </c>
      <c r="I721">
        <f>IF(MONTH(calls[[#This Row],[Date of Call]])&lt;=6, YEAR(calls[[#This Row],[Date of Call]]), YEAR(calls[[#This Row],[Date of Call]])+1)</f>
        <v>2026</v>
      </c>
      <c r="J721" t="str">
        <f>TEXT(calls[[#This Row],[Date of Call]],"DDDD")</f>
        <v>Monday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793</v>
      </c>
      <c r="C722" t="s">
        <v>55</v>
      </c>
      <c r="D722">
        <v>36</v>
      </c>
      <c r="E722" s="17" t="s">
        <v>36</v>
      </c>
      <c r="F722" s="18">
        <v>45909</v>
      </c>
      <c r="G722">
        <v>152</v>
      </c>
      <c r="H722">
        <v>4.3</v>
      </c>
      <c r="I722">
        <f>IF(MONTH(calls[[#This Row],[Date of Call]])&lt;=6, YEAR(calls[[#This Row],[Date of Call]]), YEAR(calls[[#This Row],[Date of Call]])+1)</f>
        <v>2026</v>
      </c>
      <c r="J722" t="str">
        <f>TEXT(calls[[#This Row],[Date of Call]],"DDDD")</f>
        <v>Tuesday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794</v>
      </c>
      <c r="C723" t="s">
        <v>47</v>
      </c>
      <c r="D723">
        <v>74</v>
      </c>
      <c r="E723" s="17" t="s">
        <v>37</v>
      </c>
      <c r="F723" s="18">
        <v>45909</v>
      </c>
      <c r="G723">
        <v>75</v>
      </c>
      <c r="H723">
        <v>2.8</v>
      </c>
      <c r="I723">
        <f>IF(MONTH(calls[[#This Row],[Date of Call]])&lt;=6, YEAR(calls[[#This Row],[Date of Call]]), YEAR(calls[[#This Row],[Date of Call]])+1)</f>
        <v>2026</v>
      </c>
      <c r="J723" t="str">
        <f>TEXT(calls[[#This Row],[Date of Call]],"DDDD")</f>
        <v>Tuesday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795</v>
      </c>
      <c r="C724" t="s">
        <v>57</v>
      </c>
      <c r="D724">
        <v>143</v>
      </c>
      <c r="E724" s="17" t="s">
        <v>35</v>
      </c>
      <c r="F724" s="18">
        <v>45909</v>
      </c>
      <c r="G724">
        <v>78</v>
      </c>
      <c r="H724">
        <v>4</v>
      </c>
      <c r="I724">
        <f>IF(MONTH(calls[[#This Row],[Date of Call]])&lt;=6, YEAR(calls[[#This Row],[Date of Call]]), YEAR(calls[[#This Row],[Date of Call]])+1)</f>
        <v>2026</v>
      </c>
      <c r="J724" t="str">
        <f>TEXT(calls[[#This Row],[Date of Call]],"DDDD")</f>
        <v>Tuesday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796</v>
      </c>
      <c r="C725" t="s">
        <v>45</v>
      </c>
      <c r="D725">
        <v>94</v>
      </c>
      <c r="E725" s="17" t="s">
        <v>34</v>
      </c>
      <c r="F725" s="18">
        <v>45909</v>
      </c>
      <c r="G725">
        <v>69</v>
      </c>
      <c r="H725">
        <v>3.9</v>
      </c>
      <c r="I725">
        <f>IF(MONTH(calls[[#This Row],[Date of Call]])&lt;=6, YEAR(calls[[#This Row],[Date of Call]]), YEAR(calls[[#This Row],[Date of Call]])+1)</f>
        <v>2026</v>
      </c>
      <c r="J725" t="str">
        <f>TEXT(calls[[#This Row],[Date of Call]],"DDDD")</f>
        <v>Tuesday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797</v>
      </c>
      <c r="C726" t="s">
        <v>54</v>
      </c>
      <c r="D726">
        <v>124</v>
      </c>
      <c r="E726" s="17" t="s">
        <v>38</v>
      </c>
      <c r="F726" s="18">
        <v>45910</v>
      </c>
      <c r="G726">
        <v>46</v>
      </c>
      <c r="H726">
        <v>3.1</v>
      </c>
      <c r="I726">
        <f>IF(MONTH(calls[[#This Row],[Date of Call]])&lt;=6, YEAR(calls[[#This Row],[Date of Call]]), YEAR(calls[[#This Row],[Date of Call]])+1)</f>
        <v>2026</v>
      </c>
      <c r="J726" t="str">
        <f>TEXT(calls[[#This Row],[Date of Call]],"DDDD")</f>
        <v>Wednesday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798</v>
      </c>
      <c r="C727" t="s">
        <v>55</v>
      </c>
      <c r="D727">
        <v>156</v>
      </c>
      <c r="E727" s="17" t="s">
        <v>36</v>
      </c>
      <c r="F727" s="18">
        <v>45910</v>
      </c>
      <c r="G727">
        <v>64</v>
      </c>
      <c r="H727">
        <v>2.7</v>
      </c>
      <c r="I727">
        <f>IF(MONTH(calls[[#This Row],[Date of Call]])&lt;=6, YEAR(calls[[#This Row],[Date of Call]]), YEAR(calls[[#This Row],[Date of Call]])+1)</f>
        <v>2026</v>
      </c>
      <c r="J727" t="str">
        <f>TEXT(calls[[#This Row],[Date of Call]],"DDDD")</f>
        <v>Wednesday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799</v>
      </c>
      <c r="C728" t="s">
        <v>52</v>
      </c>
      <c r="D728">
        <v>107</v>
      </c>
      <c r="E728" s="17" t="s">
        <v>35</v>
      </c>
      <c r="F728" s="18">
        <v>45910</v>
      </c>
      <c r="G728">
        <v>38</v>
      </c>
      <c r="H728">
        <v>4.7</v>
      </c>
      <c r="I728">
        <f>IF(MONTH(calls[[#This Row],[Date of Call]])&lt;=6, YEAR(calls[[#This Row],[Date of Call]]), YEAR(calls[[#This Row],[Date of Call]])+1)</f>
        <v>2026</v>
      </c>
      <c r="J728" t="str">
        <f>TEXT(calls[[#This Row],[Date of Call]],"DDDD")</f>
        <v>Wednesday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800</v>
      </c>
      <c r="C729" t="s">
        <v>45</v>
      </c>
      <c r="D729">
        <v>58</v>
      </c>
      <c r="E729" s="17" t="s">
        <v>35</v>
      </c>
      <c r="F729" s="18">
        <v>45912</v>
      </c>
      <c r="G729">
        <v>90</v>
      </c>
      <c r="H729">
        <v>4.3</v>
      </c>
      <c r="I729">
        <f>IF(MONTH(calls[[#This Row],[Date of Call]])&lt;=6, YEAR(calls[[#This Row],[Date of Call]]), YEAR(calls[[#This Row],[Date of Call]])+1)</f>
        <v>2026</v>
      </c>
      <c r="J729" t="str">
        <f>TEXT(calls[[#This Row],[Date of Call]],"DDDD")</f>
        <v>Friday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801</v>
      </c>
      <c r="C730" t="s">
        <v>53</v>
      </c>
      <c r="D730">
        <v>66</v>
      </c>
      <c r="E730" s="17" t="s">
        <v>35</v>
      </c>
      <c r="F730" s="18">
        <v>45912</v>
      </c>
      <c r="G730">
        <v>32</v>
      </c>
      <c r="H730">
        <v>3.8</v>
      </c>
      <c r="I730">
        <f>IF(MONTH(calls[[#This Row],[Date of Call]])&lt;=6, YEAR(calls[[#This Row],[Date of Call]]), YEAR(calls[[#This Row],[Date of Call]])+1)</f>
        <v>2026</v>
      </c>
      <c r="J730" t="str">
        <f>TEXT(calls[[#This Row],[Date of Call]],"DDDD")</f>
        <v>Friday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802</v>
      </c>
      <c r="C731" t="s">
        <v>49</v>
      </c>
      <c r="D731">
        <v>75</v>
      </c>
      <c r="E731" s="17" t="s">
        <v>36</v>
      </c>
      <c r="F731" s="18">
        <v>45912</v>
      </c>
      <c r="G731">
        <v>120</v>
      </c>
      <c r="H731">
        <v>4.4000000000000004</v>
      </c>
      <c r="I731">
        <f>IF(MONTH(calls[[#This Row],[Date of Call]])&lt;=6, YEAR(calls[[#This Row],[Date of Call]]), YEAR(calls[[#This Row],[Date of Call]])+1)</f>
        <v>2026</v>
      </c>
      <c r="J731" t="str">
        <f>TEXT(calls[[#This Row],[Date of Call]],"DDDD")</f>
        <v>Friday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803</v>
      </c>
      <c r="C732" t="s">
        <v>52</v>
      </c>
      <c r="D732">
        <v>8</v>
      </c>
      <c r="E732" s="17" t="s">
        <v>35</v>
      </c>
      <c r="F732" s="18">
        <v>45912</v>
      </c>
      <c r="G732">
        <v>31</v>
      </c>
      <c r="H732">
        <v>3.9</v>
      </c>
      <c r="I732">
        <f>IF(MONTH(calls[[#This Row],[Date of Call]])&lt;=6, YEAR(calls[[#This Row],[Date of Call]]), YEAR(calls[[#This Row],[Date of Call]])+1)</f>
        <v>2026</v>
      </c>
      <c r="J732" t="str">
        <f>TEXT(calls[[#This Row],[Date of Call]],"DDDD")</f>
        <v>Friday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804</v>
      </c>
      <c r="C733" t="s">
        <v>56</v>
      </c>
      <c r="D733">
        <v>76</v>
      </c>
      <c r="E733" s="17" t="s">
        <v>36</v>
      </c>
      <c r="F733" s="18">
        <v>45913</v>
      </c>
      <c r="G733">
        <v>108</v>
      </c>
      <c r="H733">
        <v>4.9000000000000004</v>
      </c>
      <c r="I733">
        <f>IF(MONTH(calls[[#This Row],[Date of Call]])&lt;=6, YEAR(calls[[#This Row],[Date of Call]]), YEAR(calls[[#This Row],[Date of Call]])+1)</f>
        <v>2026</v>
      </c>
      <c r="J733" t="str">
        <f>TEXT(calls[[#This Row],[Date of Call]],"DDDD")</f>
        <v>Saturday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805</v>
      </c>
      <c r="C734" t="s">
        <v>45</v>
      </c>
      <c r="D734">
        <v>110</v>
      </c>
      <c r="E734" s="17" t="s">
        <v>36</v>
      </c>
      <c r="F734" s="18">
        <v>45913</v>
      </c>
      <c r="G734">
        <v>180</v>
      </c>
      <c r="H734">
        <v>4.2</v>
      </c>
      <c r="I734">
        <f>IF(MONTH(calls[[#This Row],[Date of Call]])&lt;=6, YEAR(calls[[#This Row],[Date of Call]]), YEAR(calls[[#This Row],[Date of Call]])+1)</f>
        <v>2026</v>
      </c>
      <c r="J734" t="str">
        <f>TEXT(calls[[#This Row],[Date of Call]],"DDDD")</f>
        <v>Saturday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806</v>
      </c>
      <c r="C735" t="s">
        <v>53</v>
      </c>
      <c r="D735">
        <v>50</v>
      </c>
      <c r="E735" s="17" t="s">
        <v>34</v>
      </c>
      <c r="F735" s="18">
        <v>45914</v>
      </c>
      <c r="G735">
        <v>124</v>
      </c>
      <c r="H735">
        <v>4</v>
      </c>
      <c r="I735">
        <f>IF(MONTH(calls[[#This Row],[Date of Call]])&lt;=6, YEAR(calls[[#This Row],[Date of Call]]), YEAR(calls[[#This Row],[Date of Call]])+1)</f>
        <v>2026</v>
      </c>
      <c r="J735" t="str">
        <f>TEXT(calls[[#This Row],[Date of Call]],"DDDD")</f>
        <v>Sunday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807</v>
      </c>
      <c r="C736" t="s">
        <v>50</v>
      </c>
      <c r="D736">
        <v>78</v>
      </c>
      <c r="E736" s="17" t="s">
        <v>34</v>
      </c>
      <c r="F736" s="18">
        <v>45914</v>
      </c>
      <c r="G736">
        <v>23</v>
      </c>
      <c r="H736">
        <v>4.2</v>
      </c>
      <c r="I736">
        <f>IF(MONTH(calls[[#This Row],[Date of Call]])&lt;=6, YEAR(calls[[#This Row],[Date of Call]]), YEAR(calls[[#This Row],[Date of Call]])+1)</f>
        <v>2026</v>
      </c>
      <c r="J736" t="str">
        <f>TEXT(calls[[#This Row],[Date of Call]],"DDDD")</f>
        <v>Sunday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808</v>
      </c>
      <c r="C737" t="s">
        <v>48</v>
      </c>
      <c r="D737">
        <v>59</v>
      </c>
      <c r="E737" s="17" t="s">
        <v>38</v>
      </c>
      <c r="F737" s="18">
        <v>45915</v>
      </c>
      <c r="G737">
        <v>24</v>
      </c>
      <c r="H737">
        <v>4.8</v>
      </c>
      <c r="I737">
        <f>IF(MONTH(calls[[#This Row],[Date of Call]])&lt;=6, YEAR(calls[[#This Row],[Date of Call]]), YEAR(calls[[#This Row],[Date of Call]])+1)</f>
        <v>2026</v>
      </c>
      <c r="J737" t="str">
        <f>TEXT(calls[[#This Row],[Date of Call]],"DDDD")</f>
        <v>Monday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809</v>
      </c>
      <c r="C738" t="s">
        <v>50</v>
      </c>
      <c r="D738">
        <v>126</v>
      </c>
      <c r="E738" s="17" t="s">
        <v>35</v>
      </c>
      <c r="F738" s="18">
        <v>45916</v>
      </c>
      <c r="G738">
        <v>52</v>
      </c>
      <c r="H738">
        <v>1.1000000000000001</v>
      </c>
      <c r="I738">
        <f>IF(MONTH(calls[[#This Row],[Date of Call]])&lt;=6, YEAR(calls[[#This Row],[Date of Call]]), YEAR(calls[[#This Row],[Date of Call]])+1)</f>
        <v>2026</v>
      </c>
      <c r="J738" t="str">
        <f>TEXT(calls[[#This Row],[Date of Call]],"DDDD")</f>
        <v>Tuesday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810</v>
      </c>
      <c r="C739" t="s">
        <v>56</v>
      </c>
      <c r="D739">
        <v>43</v>
      </c>
      <c r="E739" s="17" t="s">
        <v>38</v>
      </c>
      <c r="F739" s="18">
        <v>45917</v>
      </c>
      <c r="G739">
        <v>168</v>
      </c>
      <c r="H739">
        <v>4</v>
      </c>
      <c r="I739">
        <f>IF(MONTH(calls[[#This Row],[Date of Call]])&lt;=6, YEAR(calls[[#This Row],[Date of Call]]), YEAR(calls[[#This Row],[Date of Call]])+1)</f>
        <v>2026</v>
      </c>
      <c r="J739" t="str">
        <f>TEXT(calls[[#This Row],[Date of Call]],"DDDD")</f>
        <v>Wednesday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811</v>
      </c>
      <c r="C740" t="s">
        <v>55</v>
      </c>
      <c r="D740">
        <v>79</v>
      </c>
      <c r="E740" s="17" t="s">
        <v>36</v>
      </c>
      <c r="F740" s="18">
        <v>45919</v>
      </c>
      <c r="G740">
        <v>125</v>
      </c>
      <c r="H740">
        <v>4.8</v>
      </c>
      <c r="I740">
        <f>IF(MONTH(calls[[#This Row],[Date of Call]])&lt;=6, YEAR(calls[[#This Row],[Date of Call]]), YEAR(calls[[#This Row],[Date of Call]])+1)</f>
        <v>2026</v>
      </c>
      <c r="J740" t="str">
        <f>TEXT(calls[[#This Row],[Date of Call]],"DDDD")</f>
        <v>Friday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812</v>
      </c>
      <c r="C741" t="s">
        <v>45</v>
      </c>
      <c r="D741">
        <v>71</v>
      </c>
      <c r="E741" s="17" t="s">
        <v>38</v>
      </c>
      <c r="F741" s="18">
        <v>45920</v>
      </c>
      <c r="G741">
        <v>50</v>
      </c>
      <c r="H741">
        <v>4.2</v>
      </c>
      <c r="I741">
        <f>IF(MONTH(calls[[#This Row],[Date of Call]])&lt;=6, YEAR(calls[[#This Row],[Date of Call]]), YEAR(calls[[#This Row],[Date of Call]])+1)</f>
        <v>2026</v>
      </c>
      <c r="J741" t="str">
        <f>TEXT(calls[[#This Row],[Date of Call]],"DDDD")</f>
        <v>Saturday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813</v>
      </c>
      <c r="C742" t="s">
        <v>58</v>
      </c>
      <c r="D742">
        <v>94</v>
      </c>
      <c r="E742" s="17" t="s">
        <v>35</v>
      </c>
      <c r="F742" s="18">
        <v>45921</v>
      </c>
      <c r="G742">
        <v>220</v>
      </c>
      <c r="H742">
        <v>4.5999999999999996</v>
      </c>
      <c r="I742">
        <f>IF(MONTH(calls[[#This Row],[Date of Call]])&lt;=6, YEAR(calls[[#This Row],[Date of Call]]), YEAR(calls[[#This Row],[Date of Call]])+1)</f>
        <v>2026</v>
      </c>
      <c r="J742" t="str">
        <f>TEXT(calls[[#This Row],[Date of Call]],"DDDD")</f>
        <v>Sunday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814</v>
      </c>
      <c r="C743" t="s">
        <v>52</v>
      </c>
      <c r="D743">
        <v>108</v>
      </c>
      <c r="E743" s="17" t="s">
        <v>38</v>
      </c>
      <c r="F743" s="18">
        <v>45921</v>
      </c>
      <c r="G743">
        <v>180</v>
      </c>
      <c r="H743">
        <v>4</v>
      </c>
      <c r="I743">
        <f>IF(MONTH(calls[[#This Row],[Date of Call]])&lt;=6, YEAR(calls[[#This Row],[Date of Call]]), YEAR(calls[[#This Row],[Date of Call]])+1)</f>
        <v>2026</v>
      </c>
      <c r="J743" t="str">
        <f>TEXT(calls[[#This Row],[Date of Call]],"DDDD")</f>
        <v>Sunday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815</v>
      </c>
      <c r="C744" t="s">
        <v>56</v>
      </c>
      <c r="D744">
        <v>76</v>
      </c>
      <c r="E744" s="17" t="s">
        <v>35</v>
      </c>
      <c r="F744" s="18">
        <v>45921</v>
      </c>
      <c r="G744">
        <v>110</v>
      </c>
      <c r="H744">
        <v>3.9</v>
      </c>
      <c r="I744">
        <f>IF(MONTH(calls[[#This Row],[Date of Call]])&lt;=6, YEAR(calls[[#This Row],[Date of Call]]), YEAR(calls[[#This Row],[Date of Call]])+1)</f>
        <v>2026</v>
      </c>
      <c r="J744" t="str">
        <f>TEXT(calls[[#This Row],[Date of Call]],"DDDD")</f>
        <v>Sunday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816</v>
      </c>
      <c r="C745" t="s">
        <v>48</v>
      </c>
      <c r="D745">
        <v>136</v>
      </c>
      <c r="E745" s="17" t="s">
        <v>38</v>
      </c>
      <c r="F745" s="18">
        <v>45921</v>
      </c>
      <c r="G745">
        <v>36</v>
      </c>
      <c r="H745">
        <v>2.8</v>
      </c>
      <c r="I745">
        <f>IF(MONTH(calls[[#This Row],[Date of Call]])&lt;=6, YEAR(calls[[#This Row],[Date of Call]]), YEAR(calls[[#This Row],[Date of Call]])+1)</f>
        <v>2026</v>
      </c>
      <c r="J745" t="str">
        <f>TEXT(calls[[#This Row],[Date of Call]],"DDDD")</f>
        <v>Sunday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817</v>
      </c>
      <c r="C746" t="s">
        <v>46</v>
      </c>
      <c r="D746">
        <v>129</v>
      </c>
      <c r="E746" s="17" t="s">
        <v>34</v>
      </c>
      <c r="F746" s="18">
        <v>45922</v>
      </c>
      <c r="G746">
        <v>93</v>
      </c>
      <c r="H746">
        <v>4.7</v>
      </c>
      <c r="I746">
        <f>IF(MONTH(calls[[#This Row],[Date of Call]])&lt;=6, YEAR(calls[[#This Row],[Date of Call]]), YEAR(calls[[#This Row],[Date of Call]])+1)</f>
        <v>2026</v>
      </c>
      <c r="J746" t="str">
        <f>TEXT(calls[[#This Row],[Date of Call]],"DDDD")</f>
        <v>Monday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818</v>
      </c>
      <c r="C747" t="s">
        <v>52</v>
      </c>
      <c r="D747">
        <v>120</v>
      </c>
      <c r="E747" s="17" t="s">
        <v>38</v>
      </c>
      <c r="F747" s="18">
        <v>45922</v>
      </c>
      <c r="G747">
        <v>38</v>
      </c>
      <c r="H747">
        <v>4.2</v>
      </c>
      <c r="I747">
        <f>IF(MONTH(calls[[#This Row],[Date of Call]])&lt;=6, YEAR(calls[[#This Row],[Date of Call]]), YEAR(calls[[#This Row],[Date of Call]])+1)</f>
        <v>2026</v>
      </c>
      <c r="J747" t="str">
        <f>TEXT(calls[[#This Row],[Date of Call]],"DDDD")</f>
        <v>Monday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819</v>
      </c>
      <c r="C748" t="s">
        <v>56</v>
      </c>
      <c r="D748">
        <v>108</v>
      </c>
      <c r="E748" s="17" t="s">
        <v>34</v>
      </c>
      <c r="F748" s="18">
        <v>45923</v>
      </c>
      <c r="G748">
        <v>66</v>
      </c>
      <c r="H748">
        <v>3.9</v>
      </c>
      <c r="I748">
        <f>IF(MONTH(calls[[#This Row],[Date of Call]])&lt;=6, YEAR(calls[[#This Row],[Date of Call]]), YEAR(calls[[#This Row],[Date of Call]])+1)</f>
        <v>2026</v>
      </c>
      <c r="J748" t="str">
        <f>TEXT(calls[[#This Row],[Date of Call]],"DDDD")</f>
        <v>Tuesday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820</v>
      </c>
      <c r="C749" t="s">
        <v>50</v>
      </c>
      <c r="D749">
        <v>79</v>
      </c>
      <c r="E749" s="17" t="s">
        <v>38</v>
      </c>
      <c r="F749" s="18">
        <v>45923</v>
      </c>
      <c r="G749">
        <v>215</v>
      </c>
      <c r="H749">
        <v>4.5999999999999996</v>
      </c>
      <c r="I749">
        <f>IF(MONTH(calls[[#This Row],[Date of Call]])&lt;=6, YEAR(calls[[#This Row],[Date of Call]]), YEAR(calls[[#This Row],[Date of Call]])+1)</f>
        <v>2026</v>
      </c>
      <c r="J749" t="str">
        <f>TEXT(calls[[#This Row],[Date of Call]],"DDDD")</f>
        <v>Tuesday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821</v>
      </c>
      <c r="C750" t="s">
        <v>50</v>
      </c>
      <c r="D750">
        <v>45</v>
      </c>
      <c r="E750" s="17" t="s">
        <v>34</v>
      </c>
      <c r="F750" s="18">
        <v>45923</v>
      </c>
      <c r="G750">
        <v>92</v>
      </c>
      <c r="H750">
        <v>4.3</v>
      </c>
      <c r="I750">
        <f>IF(MONTH(calls[[#This Row],[Date of Call]])&lt;=6, YEAR(calls[[#This Row],[Date of Call]]), YEAR(calls[[#This Row],[Date of Call]])+1)</f>
        <v>2026</v>
      </c>
      <c r="J750" t="str">
        <f>TEXT(calls[[#This Row],[Date of Call]],"DDDD")</f>
        <v>Tuesday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822</v>
      </c>
      <c r="C751" t="s">
        <v>47</v>
      </c>
      <c r="D751">
        <v>96</v>
      </c>
      <c r="E751" s="17" t="s">
        <v>38</v>
      </c>
      <c r="F751" s="18">
        <v>45923</v>
      </c>
      <c r="G751">
        <v>80</v>
      </c>
      <c r="H751">
        <v>3.6</v>
      </c>
      <c r="I751">
        <f>IF(MONTH(calls[[#This Row],[Date of Call]])&lt;=6, YEAR(calls[[#This Row],[Date of Call]]), YEAR(calls[[#This Row],[Date of Call]])+1)</f>
        <v>2026</v>
      </c>
      <c r="J751" t="str">
        <f>TEXT(calls[[#This Row],[Date of Call]],"DDDD")</f>
        <v>Tuesday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823</v>
      </c>
      <c r="C752" t="s">
        <v>47</v>
      </c>
      <c r="D752">
        <v>81</v>
      </c>
      <c r="E752" s="17" t="s">
        <v>38</v>
      </c>
      <c r="F752" s="18">
        <v>45924</v>
      </c>
      <c r="G752">
        <v>123</v>
      </c>
      <c r="H752">
        <v>4.9000000000000004</v>
      </c>
      <c r="I752">
        <f>IF(MONTH(calls[[#This Row],[Date of Call]])&lt;=6, YEAR(calls[[#This Row],[Date of Call]]), YEAR(calls[[#This Row],[Date of Call]])+1)</f>
        <v>2026</v>
      </c>
      <c r="J752" t="str">
        <f>TEXT(calls[[#This Row],[Date of Call]],"DDDD")</f>
        <v>Wednesday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824</v>
      </c>
      <c r="C753" t="s">
        <v>48</v>
      </c>
      <c r="D753">
        <v>95</v>
      </c>
      <c r="E753" s="17" t="s">
        <v>37</v>
      </c>
      <c r="F753" s="18">
        <v>45924</v>
      </c>
      <c r="G753">
        <v>23</v>
      </c>
      <c r="H753">
        <v>2.4</v>
      </c>
      <c r="I753">
        <f>IF(MONTH(calls[[#This Row],[Date of Call]])&lt;=6, YEAR(calls[[#This Row],[Date of Call]]), YEAR(calls[[#This Row],[Date of Call]])+1)</f>
        <v>2026</v>
      </c>
      <c r="J753" t="str">
        <f>TEXT(calls[[#This Row],[Date of Call]],"DDDD")</f>
        <v>Wednesday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825</v>
      </c>
      <c r="C754" t="s">
        <v>54</v>
      </c>
      <c r="D754">
        <v>159</v>
      </c>
      <c r="E754" s="17" t="s">
        <v>35</v>
      </c>
      <c r="F754" s="18">
        <v>45924</v>
      </c>
      <c r="G754">
        <v>63</v>
      </c>
      <c r="H754">
        <v>4.2</v>
      </c>
      <c r="I754">
        <f>IF(MONTH(calls[[#This Row],[Date of Call]])&lt;=6, YEAR(calls[[#This Row],[Date of Call]]), YEAR(calls[[#This Row],[Date of Call]])+1)</f>
        <v>2026</v>
      </c>
      <c r="J754" t="str">
        <f>TEXT(calls[[#This Row],[Date of Call]],"DDDD")</f>
        <v>Wednesday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826</v>
      </c>
      <c r="C755" t="s">
        <v>51</v>
      </c>
      <c r="D755">
        <v>109</v>
      </c>
      <c r="E755" s="17" t="s">
        <v>36</v>
      </c>
      <c r="F755" s="18">
        <v>45924</v>
      </c>
      <c r="G755">
        <v>52</v>
      </c>
      <c r="H755">
        <v>3.9</v>
      </c>
      <c r="I755">
        <f>IF(MONTH(calls[[#This Row],[Date of Call]])&lt;=6, YEAR(calls[[#This Row],[Date of Call]]), YEAR(calls[[#This Row],[Date of Call]])+1)</f>
        <v>2026</v>
      </c>
      <c r="J755" t="str">
        <f>TEXT(calls[[#This Row],[Date of Call]],"DDDD")</f>
        <v>Wednesday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827</v>
      </c>
      <c r="C756" t="s">
        <v>50</v>
      </c>
      <c r="D756">
        <v>107</v>
      </c>
      <c r="E756" s="17" t="s">
        <v>36</v>
      </c>
      <c r="F756" s="18">
        <v>45924</v>
      </c>
      <c r="G756">
        <v>60</v>
      </c>
      <c r="H756">
        <v>4.2</v>
      </c>
      <c r="I756">
        <f>IF(MONTH(calls[[#This Row],[Date of Call]])&lt;=6, YEAR(calls[[#This Row],[Date of Call]]), YEAR(calls[[#This Row],[Date of Call]])+1)</f>
        <v>2026</v>
      </c>
      <c r="J756" t="str">
        <f>TEXT(calls[[#This Row],[Date of Call]],"DDDD")</f>
        <v>Wednesday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828</v>
      </c>
      <c r="C757" t="s">
        <v>47</v>
      </c>
      <c r="D757">
        <v>67</v>
      </c>
      <c r="E757" s="17" t="s">
        <v>34</v>
      </c>
      <c r="F757" s="18">
        <v>45925</v>
      </c>
      <c r="G757">
        <v>87</v>
      </c>
      <c r="H757">
        <v>3.9</v>
      </c>
      <c r="I757">
        <f>IF(MONTH(calls[[#This Row],[Date of Call]])&lt;=6, YEAR(calls[[#This Row],[Date of Call]]), YEAR(calls[[#This Row],[Date of Call]])+1)</f>
        <v>2026</v>
      </c>
      <c r="J757" t="str">
        <f>TEXT(calls[[#This Row],[Date of Call]],"DDDD")</f>
        <v>Thursday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829</v>
      </c>
      <c r="C758" t="s">
        <v>49</v>
      </c>
      <c r="D758">
        <v>96</v>
      </c>
      <c r="E758" s="17" t="s">
        <v>38</v>
      </c>
      <c r="F758" s="18">
        <v>45926</v>
      </c>
      <c r="G758">
        <v>42</v>
      </c>
      <c r="H758">
        <v>4.5</v>
      </c>
      <c r="I758">
        <f>IF(MONTH(calls[[#This Row],[Date of Call]])&lt;=6, YEAR(calls[[#This Row],[Date of Call]]), YEAR(calls[[#This Row],[Date of Call]])+1)</f>
        <v>2026</v>
      </c>
      <c r="J758" t="str">
        <f>TEXT(calls[[#This Row],[Date of Call]],"DDDD")</f>
        <v>Friday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830</v>
      </c>
      <c r="C759" t="s">
        <v>57</v>
      </c>
      <c r="D759">
        <v>142</v>
      </c>
      <c r="E759" s="17" t="s">
        <v>35</v>
      </c>
      <c r="F759" s="18">
        <v>45927</v>
      </c>
      <c r="G759">
        <v>37</v>
      </c>
      <c r="H759">
        <v>3.8</v>
      </c>
      <c r="I759">
        <f>IF(MONTH(calls[[#This Row],[Date of Call]])&lt;=6, YEAR(calls[[#This Row],[Date of Call]]), YEAR(calls[[#This Row],[Date of Call]])+1)</f>
        <v>2026</v>
      </c>
      <c r="J759" t="str">
        <f>TEXT(calls[[#This Row],[Date of Call]],"DDDD")</f>
        <v>Saturday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831</v>
      </c>
      <c r="C760" t="s">
        <v>57</v>
      </c>
      <c r="D760">
        <v>71</v>
      </c>
      <c r="E760" s="17" t="s">
        <v>37</v>
      </c>
      <c r="F760" s="18">
        <v>45927</v>
      </c>
      <c r="G760">
        <v>135</v>
      </c>
      <c r="H760">
        <v>3.9</v>
      </c>
      <c r="I760">
        <f>IF(MONTH(calls[[#This Row],[Date of Call]])&lt;=6, YEAR(calls[[#This Row],[Date of Call]]), YEAR(calls[[#This Row],[Date of Call]])+1)</f>
        <v>2026</v>
      </c>
      <c r="J760" t="str">
        <f>TEXT(calls[[#This Row],[Date of Call]],"DDDD")</f>
        <v>Saturday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832</v>
      </c>
      <c r="C761" t="s">
        <v>49</v>
      </c>
      <c r="D761">
        <v>152</v>
      </c>
      <c r="E761" s="17" t="s">
        <v>37</v>
      </c>
      <c r="F761" s="18">
        <v>45927</v>
      </c>
      <c r="G761">
        <v>88</v>
      </c>
      <c r="H761">
        <v>4.7</v>
      </c>
      <c r="I761">
        <f>IF(MONTH(calls[[#This Row],[Date of Call]])&lt;=6, YEAR(calls[[#This Row],[Date of Call]]), YEAR(calls[[#This Row],[Date of Call]])+1)</f>
        <v>2026</v>
      </c>
      <c r="J761" t="str">
        <f>TEXT(calls[[#This Row],[Date of Call]],"DDDD")</f>
        <v>Saturday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833</v>
      </c>
      <c r="C762" t="s">
        <v>55</v>
      </c>
      <c r="D762">
        <v>108</v>
      </c>
      <c r="E762" s="17" t="s">
        <v>35</v>
      </c>
      <c r="F762" s="18">
        <v>45927</v>
      </c>
      <c r="G762">
        <v>190</v>
      </c>
      <c r="H762">
        <v>3.2</v>
      </c>
      <c r="I762">
        <f>IF(MONTH(calls[[#This Row],[Date of Call]])&lt;=6, YEAR(calls[[#This Row],[Date of Call]]), YEAR(calls[[#This Row],[Date of Call]])+1)</f>
        <v>2026</v>
      </c>
      <c r="J762" t="str">
        <f>TEXT(calls[[#This Row],[Date of Call]],"DDDD")</f>
        <v>Saturday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834</v>
      </c>
      <c r="C763" t="s">
        <v>55</v>
      </c>
      <c r="D763">
        <v>156</v>
      </c>
      <c r="E763" s="17" t="s">
        <v>37</v>
      </c>
      <c r="F763" s="18">
        <v>45927</v>
      </c>
      <c r="G763">
        <v>81</v>
      </c>
      <c r="H763">
        <v>5</v>
      </c>
      <c r="I763">
        <f>IF(MONTH(calls[[#This Row],[Date of Call]])&lt;=6, YEAR(calls[[#This Row],[Date of Call]]), YEAR(calls[[#This Row],[Date of Call]])+1)</f>
        <v>2026</v>
      </c>
      <c r="J763" t="str">
        <f>TEXT(calls[[#This Row],[Date of Call]],"DDDD")</f>
        <v>Saturday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835</v>
      </c>
      <c r="C764" t="s">
        <v>57</v>
      </c>
      <c r="D764">
        <v>126</v>
      </c>
      <c r="E764" s="17" t="s">
        <v>35</v>
      </c>
      <c r="F764" s="18">
        <v>45927</v>
      </c>
      <c r="G764">
        <v>44</v>
      </c>
      <c r="H764">
        <v>3.7</v>
      </c>
      <c r="I764">
        <f>IF(MONTH(calls[[#This Row],[Date of Call]])&lt;=6, YEAR(calls[[#This Row],[Date of Call]]), YEAR(calls[[#This Row],[Date of Call]])+1)</f>
        <v>2026</v>
      </c>
      <c r="J764" t="str">
        <f>TEXT(calls[[#This Row],[Date of Call]],"DDDD")</f>
        <v>Saturday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836</v>
      </c>
      <c r="C765" t="s">
        <v>56</v>
      </c>
      <c r="D765">
        <v>135</v>
      </c>
      <c r="E765" s="17" t="s">
        <v>37</v>
      </c>
      <c r="F765" s="18">
        <v>45928</v>
      </c>
      <c r="G765">
        <v>92</v>
      </c>
      <c r="H765">
        <v>3.9</v>
      </c>
      <c r="I765">
        <f>IF(MONTH(calls[[#This Row],[Date of Call]])&lt;=6, YEAR(calls[[#This Row],[Date of Call]]), YEAR(calls[[#This Row],[Date of Call]])+1)</f>
        <v>2026</v>
      </c>
      <c r="J765" t="str">
        <f>TEXT(calls[[#This Row],[Date of Call]],"DDDD")</f>
        <v>Sunday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837</v>
      </c>
      <c r="C766" t="s">
        <v>57</v>
      </c>
      <c r="D766">
        <v>110</v>
      </c>
      <c r="E766" s="17" t="s">
        <v>38</v>
      </c>
      <c r="F766" s="18">
        <v>45929</v>
      </c>
      <c r="G766">
        <v>90</v>
      </c>
      <c r="H766">
        <v>3.1</v>
      </c>
      <c r="I766">
        <f>IF(MONTH(calls[[#This Row],[Date of Call]])&lt;=6, YEAR(calls[[#This Row],[Date of Call]]), YEAR(calls[[#This Row],[Date of Call]])+1)</f>
        <v>2026</v>
      </c>
      <c r="J766" t="str">
        <f>TEXT(calls[[#This Row],[Date of Call]],"DDDD")</f>
        <v>Monday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838</v>
      </c>
      <c r="C767" t="s">
        <v>54</v>
      </c>
      <c r="D767">
        <v>64</v>
      </c>
      <c r="E767" s="17" t="s">
        <v>37</v>
      </c>
      <c r="F767" s="18">
        <v>45929</v>
      </c>
      <c r="G767">
        <v>112</v>
      </c>
      <c r="H767">
        <v>2</v>
      </c>
      <c r="I767">
        <f>IF(MONTH(calls[[#This Row],[Date of Call]])&lt;=6, YEAR(calls[[#This Row],[Date of Call]]), YEAR(calls[[#This Row],[Date of Call]])+1)</f>
        <v>2026</v>
      </c>
      <c r="J767" t="str">
        <f>TEXT(calls[[#This Row],[Date of Call]],"DDDD")</f>
        <v>Monday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839</v>
      </c>
      <c r="C768" t="s">
        <v>58</v>
      </c>
      <c r="D768">
        <v>127</v>
      </c>
      <c r="E768" s="17" t="s">
        <v>35</v>
      </c>
      <c r="F768" s="18">
        <v>45929</v>
      </c>
      <c r="G768">
        <v>112</v>
      </c>
      <c r="H768">
        <v>4.5999999999999996</v>
      </c>
      <c r="I768">
        <f>IF(MONTH(calls[[#This Row],[Date of Call]])&lt;=6, YEAR(calls[[#This Row],[Date of Call]]), YEAR(calls[[#This Row],[Date of Call]])+1)</f>
        <v>2026</v>
      </c>
      <c r="J768" t="str">
        <f>TEXT(calls[[#This Row],[Date of Call]],"DDDD")</f>
        <v>Monday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840</v>
      </c>
      <c r="C769" t="s">
        <v>51</v>
      </c>
      <c r="D769">
        <v>124</v>
      </c>
      <c r="E769" s="17" t="s">
        <v>34</v>
      </c>
      <c r="F769" s="18">
        <v>45929</v>
      </c>
      <c r="G769">
        <v>48</v>
      </c>
      <c r="H769">
        <v>3.7</v>
      </c>
      <c r="I769">
        <f>IF(MONTH(calls[[#This Row],[Date of Call]])&lt;=6, YEAR(calls[[#This Row],[Date of Call]]), YEAR(calls[[#This Row],[Date of Call]])+1)</f>
        <v>2026</v>
      </c>
      <c r="J769" t="str">
        <f>TEXT(calls[[#This Row],[Date of Call]],"DDDD")</f>
        <v>Monday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841</v>
      </c>
      <c r="C770" t="s">
        <v>54</v>
      </c>
      <c r="D770">
        <v>125</v>
      </c>
      <c r="E770" s="17" t="s">
        <v>35</v>
      </c>
      <c r="F770" s="18">
        <v>45929</v>
      </c>
      <c r="G770">
        <v>116</v>
      </c>
      <c r="H770">
        <v>4.4000000000000004</v>
      </c>
      <c r="I770">
        <f>IF(MONTH(calls[[#This Row],[Date of Call]])&lt;=6, YEAR(calls[[#This Row],[Date of Call]]), YEAR(calls[[#This Row],[Date of Call]])+1)</f>
        <v>2026</v>
      </c>
      <c r="J770" t="str">
        <f>TEXT(calls[[#This Row],[Date of Call]],"DDDD")</f>
        <v>Monday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842</v>
      </c>
      <c r="C771" t="s">
        <v>46</v>
      </c>
      <c r="D771">
        <v>70</v>
      </c>
      <c r="E771" s="17" t="s">
        <v>35</v>
      </c>
      <c r="F771" s="18">
        <v>45929</v>
      </c>
      <c r="G771">
        <v>29</v>
      </c>
      <c r="H771">
        <v>2.1</v>
      </c>
      <c r="I771">
        <f>IF(MONTH(calls[[#This Row],[Date of Call]])&lt;=6, YEAR(calls[[#This Row],[Date of Call]]), YEAR(calls[[#This Row],[Date of Call]])+1)</f>
        <v>2026</v>
      </c>
      <c r="J771" t="str">
        <f>TEXT(calls[[#This Row],[Date of Call]],"DDDD")</f>
        <v>Monday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843</v>
      </c>
      <c r="C772" t="s">
        <v>58</v>
      </c>
      <c r="D772">
        <v>93</v>
      </c>
      <c r="E772" s="17" t="s">
        <v>37</v>
      </c>
      <c r="F772" s="18">
        <v>45930</v>
      </c>
      <c r="G772">
        <v>170</v>
      </c>
      <c r="H772">
        <v>2.2000000000000002</v>
      </c>
      <c r="I772">
        <f>IF(MONTH(calls[[#This Row],[Date of Call]])&lt;=6, YEAR(calls[[#This Row],[Date of Call]]), YEAR(calls[[#This Row],[Date of Call]])+1)</f>
        <v>2026</v>
      </c>
      <c r="J772" t="str">
        <f>TEXT(calls[[#This Row],[Date of Call]],"DDDD")</f>
        <v>Tuesday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844</v>
      </c>
      <c r="C773" t="s">
        <v>46</v>
      </c>
      <c r="D773">
        <v>120</v>
      </c>
      <c r="E773" s="17" t="s">
        <v>36</v>
      </c>
      <c r="F773" s="18">
        <v>45930</v>
      </c>
      <c r="G773">
        <v>68</v>
      </c>
      <c r="H773">
        <v>3.4</v>
      </c>
      <c r="I773">
        <f>IF(MONTH(calls[[#This Row],[Date of Call]])&lt;=6, YEAR(calls[[#This Row],[Date of Call]]), YEAR(calls[[#This Row],[Date of Call]])+1)</f>
        <v>2026</v>
      </c>
      <c r="J773" t="str">
        <f>TEXT(calls[[#This Row],[Date of Call]],"DDDD")</f>
        <v>Tuesday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845</v>
      </c>
      <c r="C774" t="s">
        <v>47</v>
      </c>
      <c r="D774">
        <v>96</v>
      </c>
      <c r="E774" s="17" t="s">
        <v>38</v>
      </c>
      <c r="F774" s="18">
        <v>45930</v>
      </c>
      <c r="G774">
        <v>195</v>
      </c>
      <c r="H774">
        <v>2.7</v>
      </c>
      <c r="I774">
        <f>IF(MONTH(calls[[#This Row],[Date of Call]])&lt;=6, YEAR(calls[[#This Row],[Date of Call]]), YEAR(calls[[#This Row],[Date of Call]])+1)</f>
        <v>2026</v>
      </c>
      <c r="J774" t="str">
        <f>TEXT(calls[[#This Row],[Date of Call]],"DDDD")</f>
        <v>Tuesday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846</v>
      </c>
      <c r="C775" t="s">
        <v>59</v>
      </c>
      <c r="D775">
        <v>67</v>
      </c>
      <c r="E775" s="17" t="s">
        <v>38</v>
      </c>
      <c r="F775" s="18">
        <v>45930</v>
      </c>
      <c r="G775">
        <v>96</v>
      </c>
      <c r="H775">
        <v>3.7</v>
      </c>
      <c r="I775">
        <f>IF(MONTH(calls[[#This Row],[Date of Call]])&lt;=6, YEAR(calls[[#This Row],[Date of Call]]), YEAR(calls[[#This Row],[Date of Call]])+1)</f>
        <v>2026</v>
      </c>
      <c r="J775" t="str">
        <f>TEXT(calls[[#This Row],[Date of Call]],"DDDD")</f>
        <v>Tuesday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847</v>
      </c>
      <c r="C776" t="s">
        <v>54</v>
      </c>
      <c r="D776">
        <v>119</v>
      </c>
      <c r="E776" s="17" t="s">
        <v>38</v>
      </c>
      <c r="F776" s="18">
        <v>45930</v>
      </c>
      <c r="G776">
        <v>96</v>
      </c>
      <c r="H776">
        <v>3.1</v>
      </c>
      <c r="I776">
        <f>IF(MONTH(calls[[#This Row],[Date of Call]])&lt;=6, YEAR(calls[[#This Row],[Date of Call]]), YEAR(calls[[#This Row],[Date of Call]])+1)</f>
        <v>2026</v>
      </c>
      <c r="J776" t="str">
        <f>TEXT(calls[[#This Row],[Date of Call]],"DDDD")</f>
        <v>Tuesday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848</v>
      </c>
      <c r="C777" t="s">
        <v>51</v>
      </c>
      <c r="D777">
        <v>61</v>
      </c>
      <c r="E777" s="17" t="s">
        <v>34</v>
      </c>
      <c r="F777" s="18">
        <v>45930</v>
      </c>
      <c r="G777">
        <v>117</v>
      </c>
      <c r="H777">
        <v>4.0999999999999996</v>
      </c>
      <c r="I777">
        <f>IF(MONTH(calls[[#This Row],[Date of Call]])&lt;=6, YEAR(calls[[#This Row],[Date of Call]]), YEAR(calls[[#This Row],[Date of Call]])+1)</f>
        <v>2026</v>
      </c>
      <c r="J777" t="str">
        <f>TEXT(calls[[#This Row],[Date of Call]],"DDDD")</f>
        <v>Tuesday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849</v>
      </c>
      <c r="C778" t="s">
        <v>47</v>
      </c>
      <c r="D778">
        <v>29</v>
      </c>
      <c r="E778" s="17" t="s">
        <v>37</v>
      </c>
      <c r="F778" s="18">
        <v>45930</v>
      </c>
      <c r="G778">
        <v>80</v>
      </c>
      <c r="H778">
        <v>4.8</v>
      </c>
      <c r="I778">
        <f>IF(MONTH(calls[[#This Row],[Date of Call]])&lt;=6, YEAR(calls[[#This Row],[Date of Call]]), YEAR(calls[[#This Row],[Date of Call]])+1)</f>
        <v>2026</v>
      </c>
      <c r="J778" t="str">
        <f>TEXT(calls[[#This Row],[Date of Call]],"DDDD")</f>
        <v>Tuesday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850</v>
      </c>
      <c r="C779" t="s">
        <v>49</v>
      </c>
      <c r="D779">
        <v>134</v>
      </c>
      <c r="E779" s="17" t="s">
        <v>36</v>
      </c>
      <c r="F779" s="18">
        <v>45930</v>
      </c>
      <c r="G779">
        <v>117</v>
      </c>
      <c r="H779">
        <v>4</v>
      </c>
      <c r="I779">
        <f>IF(MONTH(calls[[#This Row],[Date of Call]])&lt;=6, YEAR(calls[[#This Row],[Date of Call]]), YEAR(calls[[#This Row],[Date of Call]])+1)</f>
        <v>2026</v>
      </c>
      <c r="J779" t="str">
        <f>TEXT(calls[[#This Row],[Date of Call]],"DDDD")</f>
        <v>Tuesday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851</v>
      </c>
      <c r="C780" t="s">
        <v>57</v>
      </c>
      <c r="D780">
        <v>113</v>
      </c>
      <c r="E780" s="17" t="s">
        <v>38</v>
      </c>
      <c r="F780" s="18">
        <v>45931</v>
      </c>
      <c r="G780">
        <v>40</v>
      </c>
      <c r="H780">
        <v>3</v>
      </c>
      <c r="I780">
        <f>IF(MONTH(calls[[#This Row],[Date of Call]])&lt;=6, YEAR(calls[[#This Row],[Date of Call]]), YEAR(calls[[#This Row],[Date of Call]])+1)</f>
        <v>2026</v>
      </c>
      <c r="J780" t="str">
        <f>TEXT(calls[[#This Row],[Date of Call]],"DDDD")</f>
        <v>Wednesday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852</v>
      </c>
      <c r="C781" t="s">
        <v>55</v>
      </c>
      <c r="D781">
        <v>12</v>
      </c>
      <c r="E781" s="17" t="s">
        <v>36</v>
      </c>
      <c r="F781" s="18">
        <v>45931</v>
      </c>
      <c r="G781">
        <v>117</v>
      </c>
      <c r="H781">
        <v>4.8</v>
      </c>
      <c r="I781">
        <f>IF(MONTH(calls[[#This Row],[Date of Call]])&lt;=6, YEAR(calls[[#This Row],[Date of Call]]), YEAR(calls[[#This Row],[Date of Call]])+1)</f>
        <v>2026</v>
      </c>
      <c r="J781" t="str">
        <f>TEXT(calls[[#This Row],[Date of Call]],"DDDD")</f>
        <v>Wednesday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853</v>
      </c>
      <c r="C782" t="s">
        <v>53</v>
      </c>
      <c r="D782">
        <v>78</v>
      </c>
      <c r="E782" s="17" t="s">
        <v>37</v>
      </c>
      <c r="F782" s="18">
        <v>45931</v>
      </c>
      <c r="G782">
        <v>135</v>
      </c>
      <c r="H782">
        <v>4.0999999999999996</v>
      </c>
      <c r="I782">
        <f>IF(MONTH(calls[[#This Row],[Date of Call]])&lt;=6, YEAR(calls[[#This Row],[Date of Call]]), YEAR(calls[[#This Row],[Date of Call]])+1)</f>
        <v>2026</v>
      </c>
      <c r="J782" t="str">
        <f>TEXT(calls[[#This Row],[Date of Call]],"DDDD")</f>
        <v>Wednesday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854</v>
      </c>
      <c r="C783" t="s">
        <v>54</v>
      </c>
      <c r="D783">
        <v>82</v>
      </c>
      <c r="E783" s="17" t="s">
        <v>35</v>
      </c>
      <c r="F783" s="18">
        <v>45931</v>
      </c>
      <c r="G783">
        <v>99</v>
      </c>
      <c r="H783">
        <v>4.2</v>
      </c>
      <c r="I783">
        <f>IF(MONTH(calls[[#This Row],[Date of Call]])&lt;=6, YEAR(calls[[#This Row],[Date of Call]]), YEAR(calls[[#This Row],[Date of Call]])+1)</f>
        <v>2026</v>
      </c>
      <c r="J783" t="str">
        <f>TEXT(calls[[#This Row],[Date of Call]],"DDDD")</f>
        <v>Wednesday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855</v>
      </c>
      <c r="C784" t="s">
        <v>52</v>
      </c>
      <c r="D784">
        <v>149</v>
      </c>
      <c r="E784" s="17" t="s">
        <v>34</v>
      </c>
      <c r="F784" s="18">
        <v>45931</v>
      </c>
      <c r="G784">
        <v>130</v>
      </c>
      <c r="H784">
        <v>3.3</v>
      </c>
      <c r="I784">
        <f>IF(MONTH(calls[[#This Row],[Date of Call]])&lt;=6, YEAR(calls[[#This Row],[Date of Call]]), YEAR(calls[[#This Row],[Date of Call]])+1)</f>
        <v>2026</v>
      </c>
      <c r="J784" t="str">
        <f>TEXT(calls[[#This Row],[Date of Call]],"DDDD")</f>
        <v>Wednesday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856</v>
      </c>
      <c r="C785" t="s">
        <v>50</v>
      </c>
      <c r="D785">
        <v>56</v>
      </c>
      <c r="E785" s="17" t="s">
        <v>36</v>
      </c>
      <c r="F785" s="18">
        <v>45931</v>
      </c>
      <c r="G785">
        <v>96</v>
      </c>
      <c r="H785">
        <v>4.7</v>
      </c>
      <c r="I785">
        <f>IF(MONTH(calls[[#This Row],[Date of Call]])&lt;=6, YEAR(calls[[#This Row],[Date of Call]]), YEAR(calls[[#This Row],[Date of Call]])+1)</f>
        <v>2026</v>
      </c>
      <c r="J785" t="str">
        <f>TEXT(calls[[#This Row],[Date of Call]],"DDDD")</f>
        <v>Wednesday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857</v>
      </c>
      <c r="C786" t="s">
        <v>47</v>
      </c>
      <c r="D786">
        <v>80</v>
      </c>
      <c r="E786" s="17" t="s">
        <v>34</v>
      </c>
      <c r="F786" s="18">
        <v>45931</v>
      </c>
      <c r="G786">
        <v>128</v>
      </c>
      <c r="H786">
        <v>3.7</v>
      </c>
      <c r="I786">
        <f>IF(MONTH(calls[[#This Row],[Date of Call]])&lt;=6, YEAR(calls[[#This Row],[Date of Call]]), YEAR(calls[[#This Row],[Date of Call]])+1)</f>
        <v>2026</v>
      </c>
      <c r="J786" t="str">
        <f>TEXT(calls[[#This Row],[Date of Call]],"DDDD")</f>
        <v>Wednesday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858</v>
      </c>
      <c r="C787" t="s">
        <v>51</v>
      </c>
      <c r="D787">
        <v>131</v>
      </c>
      <c r="E787" s="17" t="s">
        <v>38</v>
      </c>
      <c r="F787" s="18">
        <v>45931</v>
      </c>
      <c r="G787">
        <v>69</v>
      </c>
      <c r="H787">
        <v>4.7</v>
      </c>
      <c r="I787">
        <f>IF(MONTH(calls[[#This Row],[Date of Call]])&lt;=6, YEAR(calls[[#This Row],[Date of Call]]), YEAR(calls[[#This Row],[Date of Call]])+1)</f>
        <v>2026</v>
      </c>
      <c r="J787" t="str">
        <f>TEXT(calls[[#This Row],[Date of Call]],"DDDD")</f>
        <v>Wednesday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859</v>
      </c>
      <c r="C788" t="s">
        <v>51</v>
      </c>
      <c r="D788">
        <v>109</v>
      </c>
      <c r="E788" s="17" t="s">
        <v>38</v>
      </c>
      <c r="F788" s="18">
        <v>45931</v>
      </c>
      <c r="G788">
        <v>44</v>
      </c>
      <c r="H788">
        <v>4.5999999999999996</v>
      </c>
      <c r="I788">
        <f>IF(MONTH(calls[[#This Row],[Date of Call]])&lt;=6, YEAR(calls[[#This Row],[Date of Call]]), YEAR(calls[[#This Row],[Date of Call]])+1)</f>
        <v>2026</v>
      </c>
      <c r="J788" t="str">
        <f>TEXT(calls[[#This Row],[Date of Call]],"DDDD")</f>
        <v>Wednesday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860</v>
      </c>
      <c r="C789" t="s">
        <v>50</v>
      </c>
      <c r="D789">
        <v>142</v>
      </c>
      <c r="E789" s="17" t="s">
        <v>38</v>
      </c>
      <c r="F789" s="18">
        <v>45931</v>
      </c>
      <c r="G789">
        <v>44</v>
      </c>
      <c r="H789">
        <v>4.8</v>
      </c>
      <c r="I789">
        <f>IF(MONTH(calls[[#This Row],[Date of Call]])&lt;=6, YEAR(calls[[#This Row],[Date of Call]]), YEAR(calls[[#This Row],[Date of Call]])+1)</f>
        <v>2026</v>
      </c>
      <c r="J789" t="str">
        <f>TEXT(calls[[#This Row],[Date of Call]],"DDDD")</f>
        <v>Wednesday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861</v>
      </c>
      <c r="C790" t="s">
        <v>58</v>
      </c>
      <c r="D790">
        <v>114</v>
      </c>
      <c r="E790" s="17" t="s">
        <v>36</v>
      </c>
      <c r="F790" s="18">
        <v>45932</v>
      </c>
      <c r="G790">
        <v>135</v>
      </c>
      <c r="H790">
        <v>2</v>
      </c>
      <c r="I790">
        <f>IF(MONTH(calls[[#This Row],[Date of Call]])&lt;=6, YEAR(calls[[#This Row],[Date of Call]]), YEAR(calls[[#This Row],[Date of Call]])+1)</f>
        <v>2026</v>
      </c>
      <c r="J790" t="str">
        <f>TEXT(calls[[#This Row],[Date of Call]],"DDDD")</f>
        <v>Thursday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862</v>
      </c>
      <c r="C791" t="s">
        <v>59</v>
      </c>
      <c r="D791">
        <v>93</v>
      </c>
      <c r="E791" s="17" t="s">
        <v>34</v>
      </c>
      <c r="F791" s="18">
        <v>45932</v>
      </c>
      <c r="G791">
        <v>45</v>
      </c>
      <c r="H791">
        <v>3.9</v>
      </c>
      <c r="I791">
        <f>IF(MONTH(calls[[#This Row],[Date of Call]])&lt;=6, YEAR(calls[[#This Row],[Date of Call]]), YEAR(calls[[#This Row],[Date of Call]])+1)</f>
        <v>2026</v>
      </c>
      <c r="J791" t="str">
        <f>TEXT(calls[[#This Row],[Date of Call]],"DDDD")</f>
        <v>Thursday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863</v>
      </c>
      <c r="C792" t="s">
        <v>55</v>
      </c>
      <c r="D792">
        <v>43</v>
      </c>
      <c r="E792" s="17" t="s">
        <v>34</v>
      </c>
      <c r="F792" s="18">
        <v>45932</v>
      </c>
      <c r="G792">
        <v>87</v>
      </c>
      <c r="H792">
        <v>3</v>
      </c>
      <c r="I792">
        <f>IF(MONTH(calls[[#This Row],[Date of Call]])&lt;=6, YEAR(calls[[#This Row],[Date of Call]]), YEAR(calls[[#This Row],[Date of Call]])+1)</f>
        <v>2026</v>
      </c>
      <c r="J792" t="str">
        <f>TEXT(calls[[#This Row],[Date of Call]],"DDDD")</f>
        <v>Thursday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864</v>
      </c>
      <c r="C793" t="s">
        <v>49</v>
      </c>
      <c r="D793">
        <v>78</v>
      </c>
      <c r="E793" s="17" t="s">
        <v>37</v>
      </c>
      <c r="F793" s="18">
        <v>45933</v>
      </c>
      <c r="G793">
        <v>84</v>
      </c>
      <c r="H793">
        <v>4.5999999999999996</v>
      </c>
      <c r="I793">
        <f>IF(MONTH(calls[[#This Row],[Date of Call]])&lt;=6, YEAR(calls[[#This Row],[Date of Call]]), YEAR(calls[[#This Row],[Date of Call]])+1)</f>
        <v>2026</v>
      </c>
      <c r="J793" t="str">
        <f>TEXT(calls[[#This Row],[Date of Call]],"DDDD")</f>
        <v>Friday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865</v>
      </c>
      <c r="C794" t="s">
        <v>58</v>
      </c>
      <c r="D794">
        <v>89</v>
      </c>
      <c r="E794" s="17" t="s">
        <v>38</v>
      </c>
      <c r="F794" s="18">
        <v>45933</v>
      </c>
      <c r="G794">
        <v>81</v>
      </c>
      <c r="H794">
        <v>3.8</v>
      </c>
      <c r="I794">
        <f>IF(MONTH(calls[[#This Row],[Date of Call]])&lt;=6, YEAR(calls[[#This Row],[Date of Call]]), YEAR(calls[[#This Row],[Date of Call]])+1)</f>
        <v>2026</v>
      </c>
      <c r="J794" t="str">
        <f>TEXT(calls[[#This Row],[Date of Call]],"DDDD")</f>
        <v>Friday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866</v>
      </c>
      <c r="C795" t="s">
        <v>50</v>
      </c>
      <c r="D795">
        <v>82</v>
      </c>
      <c r="E795" s="17" t="s">
        <v>35</v>
      </c>
      <c r="F795" s="18">
        <v>45933</v>
      </c>
      <c r="G795">
        <v>130</v>
      </c>
      <c r="H795">
        <v>4.4000000000000004</v>
      </c>
      <c r="I795">
        <f>IF(MONTH(calls[[#This Row],[Date of Call]])&lt;=6, YEAR(calls[[#This Row],[Date of Call]]), YEAR(calls[[#This Row],[Date of Call]])+1)</f>
        <v>2026</v>
      </c>
      <c r="J795" t="str">
        <f>TEXT(calls[[#This Row],[Date of Call]],"DDDD")</f>
        <v>Friday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867</v>
      </c>
      <c r="C796" t="s">
        <v>47</v>
      </c>
      <c r="D796">
        <v>86</v>
      </c>
      <c r="E796" s="17" t="s">
        <v>38</v>
      </c>
      <c r="F796" s="18">
        <v>45934</v>
      </c>
      <c r="G796">
        <v>92</v>
      </c>
      <c r="H796">
        <v>2.4</v>
      </c>
      <c r="I796">
        <f>IF(MONTH(calls[[#This Row],[Date of Call]])&lt;=6, YEAR(calls[[#This Row],[Date of Call]]), YEAR(calls[[#This Row],[Date of Call]])+1)</f>
        <v>2026</v>
      </c>
      <c r="J796" t="str">
        <f>TEXT(calls[[#This Row],[Date of Call]],"DDDD")</f>
        <v>Saturday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868</v>
      </c>
      <c r="C797" t="s">
        <v>48</v>
      </c>
      <c r="D797">
        <v>57</v>
      </c>
      <c r="E797" s="17" t="s">
        <v>37</v>
      </c>
      <c r="F797" s="18">
        <v>45934</v>
      </c>
      <c r="G797">
        <v>48</v>
      </c>
      <c r="H797">
        <v>4.5</v>
      </c>
      <c r="I797">
        <f>IF(MONTH(calls[[#This Row],[Date of Call]])&lt;=6, YEAR(calls[[#This Row],[Date of Call]]), YEAR(calls[[#This Row],[Date of Call]])+1)</f>
        <v>2026</v>
      </c>
      <c r="J797" t="str">
        <f>TEXT(calls[[#This Row],[Date of Call]],"DDDD")</f>
        <v>Saturday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869</v>
      </c>
      <c r="C798" t="s">
        <v>59</v>
      </c>
      <c r="D798">
        <v>103</v>
      </c>
      <c r="E798" s="17" t="s">
        <v>36</v>
      </c>
      <c r="F798" s="18">
        <v>45934</v>
      </c>
      <c r="G798">
        <v>160</v>
      </c>
      <c r="H798">
        <v>4.5</v>
      </c>
      <c r="I798">
        <f>IF(MONTH(calls[[#This Row],[Date of Call]])&lt;=6, YEAR(calls[[#This Row],[Date of Call]]), YEAR(calls[[#This Row],[Date of Call]])+1)</f>
        <v>2026</v>
      </c>
      <c r="J798" t="str">
        <f>TEXT(calls[[#This Row],[Date of Call]],"DDDD")</f>
        <v>Saturday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870</v>
      </c>
      <c r="C799" t="s">
        <v>53</v>
      </c>
      <c r="D799">
        <v>138</v>
      </c>
      <c r="E799" s="17" t="s">
        <v>37</v>
      </c>
      <c r="F799" s="18">
        <v>45935</v>
      </c>
      <c r="G799">
        <v>155</v>
      </c>
      <c r="H799">
        <v>2.7</v>
      </c>
      <c r="I799">
        <f>IF(MONTH(calls[[#This Row],[Date of Call]])&lt;=6, YEAR(calls[[#This Row],[Date of Call]]), YEAR(calls[[#This Row],[Date of Call]])+1)</f>
        <v>2026</v>
      </c>
      <c r="J799" t="str">
        <f>TEXT(calls[[#This Row],[Date of Call]],"DDDD")</f>
        <v>Sunday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871</v>
      </c>
      <c r="C800" t="s">
        <v>52</v>
      </c>
      <c r="D800">
        <v>88</v>
      </c>
      <c r="E800" s="17" t="s">
        <v>35</v>
      </c>
      <c r="F800" s="18">
        <v>45935</v>
      </c>
      <c r="G800">
        <v>100</v>
      </c>
      <c r="H800">
        <v>4.9000000000000004</v>
      </c>
      <c r="I800">
        <f>IF(MONTH(calls[[#This Row],[Date of Call]])&lt;=6, YEAR(calls[[#This Row],[Date of Call]]), YEAR(calls[[#This Row],[Date of Call]])+1)</f>
        <v>2026</v>
      </c>
      <c r="J800" t="str">
        <f>TEXT(calls[[#This Row],[Date of Call]],"DDDD")</f>
        <v>Sunday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872</v>
      </c>
      <c r="C801" t="s">
        <v>58</v>
      </c>
      <c r="D801">
        <v>118</v>
      </c>
      <c r="E801" s="17" t="s">
        <v>34</v>
      </c>
      <c r="F801" s="18">
        <v>45935</v>
      </c>
      <c r="G801">
        <v>56</v>
      </c>
      <c r="H801">
        <v>3.7</v>
      </c>
      <c r="I801">
        <f>IF(MONTH(calls[[#This Row],[Date of Call]])&lt;=6, YEAR(calls[[#This Row],[Date of Call]]), YEAR(calls[[#This Row],[Date of Call]])+1)</f>
        <v>2026</v>
      </c>
      <c r="J801" t="str">
        <f>TEXT(calls[[#This Row],[Date of Call]],"DDDD")</f>
        <v>Sunday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873</v>
      </c>
      <c r="C802" t="s">
        <v>47</v>
      </c>
      <c r="D802">
        <v>4</v>
      </c>
      <c r="E802" s="17" t="s">
        <v>38</v>
      </c>
      <c r="F802" s="18">
        <v>45935</v>
      </c>
      <c r="G802">
        <v>170</v>
      </c>
      <c r="H802">
        <v>3.9</v>
      </c>
      <c r="I802">
        <f>IF(MONTH(calls[[#This Row],[Date of Call]])&lt;=6, YEAR(calls[[#This Row],[Date of Call]]), YEAR(calls[[#This Row],[Date of Call]])+1)</f>
        <v>2026</v>
      </c>
      <c r="J802" t="str">
        <f>TEXT(calls[[#This Row],[Date of Call]],"DDDD")</f>
        <v>Sunday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874</v>
      </c>
      <c r="C803" t="s">
        <v>55</v>
      </c>
      <c r="D803">
        <v>78</v>
      </c>
      <c r="E803" s="17" t="s">
        <v>36</v>
      </c>
      <c r="F803" s="18">
        <v>45936</v>
      </c>
      <c r="G803">
        <v>74</v>
      </c>
      <c r="H803">
        <v>3.5</v>
      </c>
      <c r="I803">
        <f>IF(MONTH(calls[[#This Row],[Date of Call]])&lt;=6, YEAR(calls[[#This Row],[Date of Call]]), YEAR(calls[[#This Row],[Date of Call]])+1)</f>
        <v>2026</v>
      </c>
      <c r="J803" t="str">
        <f>TEXT(calls[[#This Row],[Date of Call]],"DDDD")</f>
        <v>Monday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875</v>
      </c>
      <c r="C804" t="s">
        <v>57</v>
      </c>
      <c r="D804">
        <v>69</v>
      </c>
      <c r="E804" s="17" t="s">
        <v>38</v>
      </c>
      <c r="F804" s="18">
        <v>45936</v>
      </c>
      <c r="G804">
        <v>99</v>
      </c>
      <c r="H804">
        <v>2.7</v>
      </c>
      <c r="I804">
        <f>IF(MONTH(calls[[#This Row],[Date of Call]])&lt;=6, YEAR(calls[[#This Row],[Date of Call]]), YEAR(calls[[#This Row],[Date of Call]])+1)</f>
        <v>2026</v>
      </c>
      <c r="J804" t="str">
        <f>TEXT(calls[[#This Row],[Date of Call]],"DDDD")</f>
        <v>Monday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876</v>
      </c>
      <c r="C805" t="s">
        <v>50</v>
      </c>
      <c r="D805">
        <v>90</v>
      </c>
      <c r="E805" s="17" t="s">
        <v>37</v>
      </c>
      <c r="F805" s="18">
        <v>45936</v>
      </c>
      <c r="G805">
        <v>84</v>
      </c>
      <c r="H805">
        <v>3.9</v>
      </c>
      <c r="I805">
        <f>IF(MONTH(calls[[#This Row],[Date of Call]])&lt;=6, YEAR(calls[[#This Row],[Date of Call]]), YEAR(calls[[#This Row],[Date of Call]])+1)</f>
        <v>2026</v>
      </c>
      <c r="J805" t="str">
        <f>TEXT(calls[[#This Row],[Date of Call]],"DDDD")</f>
        <v>Monday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877</v>
      </c>
      <c r="C806" t="s">
        <v>57</v>
      </c>
      <c r="D806">
        <v>134</v>
      </c>
      <c r="E806" s="17" t="s">
        <v>38</v>
      </c>
      <c r="F806" s="18">
        <v>45936</v>
      </c>
      <c r="G806">
        <v>35</v>
      </c>
      <c r="H806">
        <v>3.4</v>
      </c>
      <c r="I806">
        <f>IF(MONTH(calls[[#This Row],[Date of Call]])&lt;=6, YEAR(calls[[#This Row],[Date of Call]]), YEAR(calls[[#This Row],[Date of Call]])+1)</f>
        <v>2026</v>
      </c>
      <c r="J806" t="str">
        <f>TEXT(calls[[#This Row],[Date of Call]],"DDDD")</f>
        <v>Monday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878</v>
      </c>
      <c r="C807" t="s">
        <v>46</v>
      </c>
      <c r="D807">
        <v>65</v>
      </c>
      <c r="E807" s="17" t="s">
        <v>34</v>
      </c>
      <c r="F807" s="18">
        <v>45936</v>
      </c>
      <c r="G807">
        <v>150</v>
      </c>
      <c r="H807">
        <v>5</v>
      </c>
      <c r="I807">
        <f>IF(MONTH(calls[[#This Row],[Date of Call]])&lt;=6, YEAR(calls[[#This Row],[Date of Call]]), YEAR(calls[[#This Row],[Date of Call]])+1)</f>
        <v>2026</v>
      </c>
      <c r="J807" t="str">
        <f>TEXT(calls[[#This Row],[Date of Call]],"DDDD")</f>
        <v>Monday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879</v>
      </c>
      <c r="C808" t="s">
        <v>56</v>
      </c>
      <c r="D808">
        <v>54</v>
      </c>
      <c r="E808" s="17" t="s">
        <v>36</v>
      </c>
      <c r="F808" s="18">
        <v>45937</v>
      </c>
      <c r="G808">
        <v>176</v>
      </c>
      <c r="H808">
        <v>4.4000000000000004</v>
      </c>
      <c r="I808">
        <f>IF(MONTH(calls[[#This Row],[Date of Call]])&lt;=6, YEAR(calls[[#This Row],[Date of Call]]), YEAR(calls[[#This Row],[Date of Call]])+1)</f>
        <v>2026</v>
      </c>
      <c r="J808" t="str">
        <f>TEXT(calls[[#This Row],[Date of Call]],"DDDD")</f>
        <v>Tuesday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880</v>
      </c>
      <c r="C809" t="s">
        <v>56</v>
      </c>
      <c r="D809">
        <v>90</v>
      </c>
      <c r="E809" s="17" t="s">
        <v>36</v>
      </c>
      <c r="F809" s="18">
        <v>45937</v>
      </c>
      <c r="G809">
        <v>84</v>
      </c>
      <c r="H809">
        <v>4.3</v>
      </c>
      <c r="I809">
        <f>IF(MONTH(calls[[#This Row],[Date of Call]])&lt;=6, YEAR(calls[[#This Row],[Date of Call]]), YEAR(calls[[#This Row],[Date of Call]])+1)</f>
        <v>2026</v>
      </c>
      <c r="J809" t="str">
        <f>TEXT(calls[[#This Row],[Date of Call]],"DDDD")</f>
        <v>Tuesday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881</v>
      </c>
      <c r="C810" t="s">
        <v>50</v>
      </c>
      <c r="D810">
        <v>66</v>
      </c>
      <c r="E810" s="17" t="s">
        <v>36</v>
      </c>
      <c r="F810" s="18">
        <v>45937</v>
      </c>
      <c r="G810">
        <v>136</v>
      </c>
      <c r="H810">
        <v>4.7</v>
      </c>
      <c r="I810">
        <f>IF(MONTH(calls[[#This Row],[Date of Call]])&lt;=6, YEAR(calls[[#This Row],[Date of Call]]), YEAR(calls[[#This Row],[Date of Call]])+1)</f>
        <v>2026</v>
      </c>
      <c r="J810" t="str">
        <f>TEXT(calls[[#This Row],[Date of Call]],"DDDD")</f>
        <v>Tuesday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882</v>
      </c>
      <c r="C811" t="s">
        <v>47</v>
      </c>
      <c r="D811">
        <v>150</v>
      </c>
      <c r="E811" s="17" t="s">
        <v>36</v>
      </c>
      <c r="F811" s="18">
        <v>45938</v>
      </c>
      <c r="G811">
        <v>70</v>
      </c>
      <c r="H811">
        <v>4.0999999999999996</v>
      </c>
      <c r="I811">
        <f>IF(MONTH(calls[[#This Row],[Date of Call]])&lt;=6, YEAR(calls[[#This Row],[Date of Call]]), YEAR(calls[[#This Row],[Date of Call]])+1)</f>
        <v>2026</v>
      </c>
      <c r="J811" t="str">
        <f>TEXT(calls[[#This Row],[Date of Call]],"DDDD")</f>
        <v>Wednesday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883</v>
      </c>
      <c r="C812" t="s">
        <v>49</v>
      </c>
      <c r="D812">
        <v>18</v>
      </c>
      <c r="E812" s="17" t="s">
        <v>34</v>
      </c>
      <c r="F812" s="18">
        <v>45938</v>
      </c>
      <c r="G812">
        <v>96</v>
      </c>
      <c r="H812">
        <v>4.8</v>
      </c>
      <c r="I812">
        <f>IF(MONTH(calls[[#This Row],[Date of Call]])&lt;=6, YEAR(calls[[#This Row],[Date of Call]]), YEAR(calls[[#This Row],[Date of Call]])+1)</f>
        <v>2026</v>
      </c>
      <c r="J812" t="str">
        <f>TEXT(calls[[#This Row],[Date of Call]],"DDDD")</f>
        <v>Wednesday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884</v>
      </c>
      <c r="C813" t="s">
        <v>56</v>
      </c>
      <c r="D813">
        <v>87</v>
      </c>
      <c r="E813" s="17" t="s">
        <v>34</v>
      </c>
      <c r="F813" s="18">
        <v>45938</v>
      </c>
      <c r="G813">
        <v>23</v>
      </c>
      <c r="H813">
        <v>4.2</v>
      </c>
      <c r="I813">
        <f>IF(MONTH(calls[[#This Row],[Date of Call]])&lt;=6, YEAR(calls[[#This Row],[Date of Call]]), YEAR(calls[[#This Row],[Date of Call]])+1)</f>
        <v>2026</v>
      </c>
      <c r="J813" t="str">
        <f>TEXT(calls[[#This Row],[Date of Call]],"DDDD")</f>
        <v>Wednesday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885</v>
      </c>
      <c r="C814" t="s">
        <v>53</v>
      </c>
      <c r="D814">
        <v>94</v>
      </c>
      <c r="E814" s="17" t="s">
        <v>36</v>
      </c>
      <c r="F814" s="18">
        <v>45939</v>
      </c>
      <c r="G814">
        <v>120</v>
      </c>
      <c r="H814">
        <v>3.4</v>
      </c>
      <c r="I814">
        <f>IF(MONTH(calls[[#This Row],[Date of Call]])&lt;=6, YEAR(calls[[#This Row],[Date of Call]]), YEAR(calls[[#This Row],[Date of Call]])+1)</f>
        <v>2026</v>
      </c>
      <c r="J814" t="str">
        <f>TEXT(calls[[#This Row],[Date of Call]],"DDDD")</f>
        <v>Thursday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886</v>
      </c>
      <c r="C815" t="s">
        <v>48</v>
      </c>
      <c r="D815">
        <v>56</v>
      </c>
      <c r="E815" s="17" t="s">
        <v>36</v>
      </c>
      <c r="F815" s="18">
        <v>45939</v>
      </c>
      <c r="G815">
        <v>205</v>
      </c>
      <c r="H815">
        <v>3.3</v>
      </c>
      <c r="I815">
        <f>IF(MONTH(calls[[#This Row],[Date of Call]])&lt;=6, YEAR(calls[[#This Row],[Date of Call]]), YEAR(calls[[#This Row],[Date of Call]])+1)</f>
        <v>2026</v>
      </c>
      <c r="J815" t="str">
        <f>TEXT(calls[[#This Row],[Date of Call]],"DDDD")</f>
        <v>Thursday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887</v>
      </c>
      <c r="C816" t="s">
        <v>58</v>
      </c>
      <c r="D816">
        <v>41</v>
      </c>
      <c r="E816" s="17" t="s">
        <v>35</v>
      </c>
      <c r="F816" s="18">
        <v>45940</v>
      </c>
      <c r="G816">
        <v>42</v>
      </c>
      <c r="H816">
        <v>3.8</v>
      </c>
      <c r="I816">
        <f>IF(MONTH(calls[[#This Row],[Date of Call]])&lt;=6, YEAR(calls[[#This Row],[Date of Call]]), YEAR(calls[[#This Row],[Date of Call]])+1)</f>
        <v>2026</v>
      </c>
      <c r="J816" t="str">
        <f>TEXT(calls[[#This Row],[Date of Call]],"DDDD")</f>
        <v>Friday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888</v>
      </c>
      <c r="C817" t="s">
        <v>47</v>
      </c>
      <c r="D817">
        <v>119</v>
      </c>
      <c r="E817" s="17" t="s">
        <v>37</v>
      </c>
      <c r="F817" s="18">
        <v>45940</v>
      </c>
      <c r="G817">
        <v>111</v>
      </c>
      <c r="H817">
        <v>3.9</v>
      </c>
      <c r="I817">
        <f>IF(MONTH(calls[[#This Row],[Date of Call]])&lt;=6, YEAR(calls[[#This Row],[Date of Call]]), YEAR(calls[[#This Row],[Date of Call]])+1)</f>
        <v>2026</v>
      </c>
      <c r="J817" t="str">
        <f>TEXT(calls[[#This Row],[Date of Call]],"DDDD")</f>
        <v>Friday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889</v>
      </c>
      <c r="C818" t="s">
        <v>59</v>
      </c>
      <c r="D818">
        <v>108</v>
      </c>
      <c r="E818" s="17" t="s">
        <v>36</v>
      </c>
      <c r="F818" s="18">
        <v>45940</v>
      </c>
      <c r="G818">
        <v>68</v>
      </c>
      <c r="H818">
        <v>2.5</v>
      </c>
      <c r="I818">
        <f>IF(MONTH(calls[[#This Row],[Date of Call]])&lt;=6, YEAR(calls[[#This Row],[Date of Call]]), YEAR(calls[[#This Row],[Date of Call]])+1)</f>
        <v>2026</v>
      </c>
      <c r="J818" t="str">
        <f>TEXT(calls[[#This Row],[Date of Call]],"DDDD")</f>
        <v>Friday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890</v>
      </c>
      <c r="C819" t="s">
        <v>55</v>
      </c>
      <c r="D819">
        <v>63</v>
      </c>
      <c r="E819" s="17" t="s">
        <v>38</v>
      </c>
      <c r="F819" s="18">
        <v>45940</v>
      </c>
      <c r="G819">
        <v>172</v>
      </c>
      <c r="H819">
        <v>4.9000000000000004</v>
      </c>
      <c r="I819">
        <f>IF(MONTH(calls[[#This Row],[Date of Call]])&lt;=6, YEAR(calls[[#This Row],[Date of Call]]), YEAR(calls[[#This Row],[Date of Call]])+1)</f>
        <v>2026</v>
      </c>
      <c r="J819" t="str">
        <f>TEXT(calls[[#This Row],[Date of Call]],"DDDD")</f>
        <v>Friday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891</v>
      </c>
      <c r="C820" t="s">
        <v>54</v>
      </c>
      <c r="D820">
        <v>59</v>
      </c>
      <c r="E820" s="17" t="s">
        <v>36</v>
      </c>
      <c r="F820" s="18">
        <v>45940</v>
      </c>
      <c r="G820">
        <v>152</v>
      </c>
      <c r="H820">
        <v>4.8</v>
      </c>
      <c r="I820">
        <f>IF(MONTH(calls[[#This Row],[Date of Call]])&lt;=6, YEAR(calls[[#This Row],[Date of Call]]), YEAR(calls[[#This Row],[Date of Call]])+1)</f>
        <v>2026</v>
      </c>
      <c r="J820" t="str">
        <f>TEXT(calls[[#This Row],[Date of Call]],"DDDD")</f>
        <v>Friday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892</v>
      </c>
      <c r="C821" t="s">
        <v>54</v>
      </c>
      <c r="D821">
        <v>90</v>
      </c>
      <c r="E821" s="17" t="s">
        <v>35</v>
      </c>
      <c r="F821" s="18">
        <v>45940</v>
      </c>
      <c r="G821">
        <v>48</v>
      </c>
      <c r="H821">
        <v>4.7</v>
      </c>
      <c r="I821">
        <f>IF(MONTH(calls[[#This Row],[Date of Call]])&lt;=6, YEAR(calls[[#This Row],[Date of Call]]), YEAR(calls[[#This Row],[Date of Call]])+1)</f>
        <v>2026</v>
      </c>
      <c r="J821" t="str">
        <f>TEXT(calls[[#This Row],[Date of Call]],"DDDD")</f>
        <v>Friday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893</v>
      </c>
      <c r="C822" t="s">
        <v>52</v>
      </c>
      <c r="D822">
        <v>55</v>
      </c>
      <c r="E822" s="17" t="s">
        <v>35</v>
      </c>
      <c r="F822" s="18">
        <v>45940</v>
      </c>
      <c r="G822">
        <v>25</v>
      </c>
      <c r="H822">
        <v>4.7</v>
      </c>
      <c r="I822">
        <f>IF(MONTH(calls[[#This Row],[Date of Call]])&lt;=6, YEAR(calls[[#This Row],[Date of Call]]), YEAR(calls[[#This Row],[Date of Call]])+1)</f>
        <v>2026</v>
      </c>
      <c r="J822" t="str">
        <f>TEXT(calls[[#This Row],[Date of Call]],"DDDD")</f>
        <v>Friday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894</v>
      </c>
      <c r="C823" t="s">
        <v>59</v>
      </c>
      <c r="D823">
        <v>84</v>
      </c>
      <c r="E823" s="17" t="s">
        <v>37</v>
      </c>
      <c r="F823" s="18">
        <v>45941</v>
      </c>
      <c r="G823">
        <v>54</v>
      </c>
      <c r="H823">
        <v>3.3</v>
      </c>
      <c r="I823">
        <f>IF(MONTH(calls[[#This Row],[Date of Call]])&lt;=6, YEAR(calls[[#This Row],[Date of Call]]), YEAR(calls[[#This Row],[Date of Call]])+1)</f>
        <v>2026</v>
      </c>
      <c r="J823" t="str">
        <f>TEXT(calls[[#This Row],[Date of Call]],"DDDD")</f>
        <v>Saturday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895</v>
      </c>
      <c r="C824" t="s">
        <v>59</v>
      </c>
      <c r="D824">
        <v>150</v>
      </c>
      <c r="E824" s="17" t="s">
        <v>34</v>
      </c>
      <c r="F824" s="18">
        <v>45941</v>
      </c>
      <c r="G824">
        <v>108</v>
      </c>
      <c r="H824">
        <v>4.7</v>
      </c>
      <c r="I824">
        <f>IF(MONTH(calls[[#This Row],[Date of Call]])&lt;=6, YEAR(calls[[#This Row],[Date of Call]]), YEAR(calls[[#This Row],[Date of Call]])+1)</f>
        <v>2026</v>
      </c>
      <c r="J824" t="str">
        <f>TEXT(calls[[#This Row],[Date of Call]],"DDDD")</f>
        <v>Saturday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896</v>
      </c>
      <c r="C825" t="s">
        <v>51</v>
      </c>
      <c r="D825">
        <v>69</v>
      </c>
      <c r="E825" s="17" t="s">
        <v>36</v>
      </c>
      <c r="F825" s="18">
        <v>45941</v>
      </c>
      <c r="G825">
        <v>36</v>
      </c>
      <c r="H825">
        <v>4.5</v>
      </c>
      <c r="I825">
        <f>IF(MONTH(calls[[#This Row],[Date of Call]])&lt;=6, YEAR(calls[[#This Row],[Date of Call]]), YEAR(calls[[#This Row],[Date of Call]])+1)</f>
        <v>2026</v>
      </c>
      <c r="J825" t="str">
        <f>TEXT(calls[[#This Row],[Date of Call]],"DDDD")</f>
        <v>Saturday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897</v>
      </c>
      <c r="C826" t="s">
        <v>45</v>
      </c>
      <c r="D826">
        <v>120</v>
      </c>
      <c r="E826" s="17" t="s">
        <v>35</v>
      </c>
      <c r="F826" s="18">
        <v>45942</v>
      </c>
      <c r="G826">
        <v>140</v>
      </c>
      <c r="H826">
        <v>4.5999999999999996</v>
      </c>
      <c r="I826">
        <f>IF(MONTH(calls[[#This Row],[Date of Call]])&lt;=6, YEAR(calls[[#This Row],[Date of Call]]), YEAR(calls[[#This Row],[Date of Call]])+1)</f>
        <v>2026</v>
      </c>
      <c r="J826" t="str">
        <f>TEXT(calls[[#This Row],[Date of Call]],"DDDD")</f>
        <v>Sunday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898</v>
      </c>
      <c r="C827" t="s">
        <v>56</v>
      </c>
      <c r="D827">
        <v>126</v>
      </c>
      <c r="E827" s="17" t="s">
        <v>37</v>
      </c>
      <c r="F827" s="18">
        <v>45942</v>
      </c>
      <c r="G827">
        <v>50</v>
      </c>
      <c r="H827">
        <v>4.8</v>
      </c>
      <c r="I827">
        <f>IF(MONTH(calls[[#This Row],[Date of Call]])&lt;=6, YEAR(calls[[#This Row],[Date of Call]]), YEAR(calls[[#This Row],[Date of Call]])+1)</f>
        <v>2026</v>
      </c>
      <c r="J827" t="str">
        <f>TEXT(calls[[#This Row],[Date of Call]],"DDDD")</f>
        <v>Sunday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899</v>
      </c>
      <c r="C828" t="s">
        <v>51</v>
      </c>
      <c r="D828">
        <v>120</v>
      </c>
      <c r="E828" s="17" t="s">
        <v>38</v>
      </c>
      <c r="F828" s="18">
        <v>45942</v>
      </c>
      <c r="G828">
        <v>195</v>
      </c>
      <c r="H828">
        <v>4.3</v>
      </c>
      <c r="I828">
        <f>IF(MONTH(calls[[#This Row],[Date of Call]])&lt;=6, YEAR(calls[[#This Row],[Date of Call]]), YEAR(calls[[#This Row],[Date of Call]])+1)</f>
        <v>2026</v>
      </c>
      <c r="J828" t="str">
        <f>TEXT(calls[[#This Row],[Date of Call]],"DDDD")</f>
        <v>Sunday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900</v>
      </c>
      <c r="C829" t="s">
        <v>56</v>
      </c>
      <c r="D829">
        <v>139</v>
      </c>
      <c r="E829" s="17" t="s">
        <v>35</v>
      </c>
      <c r="F829" s="18">
        <v>45943</v>
      </c>
      <c r="G829">
        <v>48</v>
      </c>
      <c r="H829">
        <v>4.7</v>
      </c>
      <c r="I829">
        <f>IF(MONTH(calls[[#This Row],[Date of Call]])&lt;=6, YEAR(calls[[#This Row],[Date of Call]]), YEAR(calls[[#This Row],[Date of Call]])+1)</f>
        <v>2026</v>
      </c>
      <c r="J829" t="str">
        <f>TEXT(calls[[#This Row],[Date of Call]],"DDDD")</f>
        <v>Monday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901</v>
      </c>
      <c r="C830" t="s">
        <v>52</v>
      </c>
      <c r="D830">
        <v>124</v>
      </c>
      <c r="E830" s="17" t="s">
        <v>36</v>
      </c>
      <c r="F830" s="18">
        <v>45944</v>
      </c>
      <c r="G830">
        <v>29</v>
      </c>
      <c r="H830">
        <v>4.8</v>
      </c>
      <c r="I830">
        <f>IF(MONTH(calls[[#This Row],[Date of Call]])&lt;=6, YEAR(calls[[#This Row],[Date of Call]]), YEAR(calls[[#This Row],[Date of Call]])+1)</f>
        <v>2026</v>
      </c>
      <c r="J830" t="str">
        <f>TEXT(calls[[#This Row],[Date of Call]],"DDDD")</f>
        <v>Tuesday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902</v>
      </c>
      <c r="C831" t="s">
        <v>45</v>
      </c>
      <c r="D831">
        <v>108</v>
      </c>
      <c r="E831" s="17" t="s">
        <v>38</v>
      </c>
      <c r="F831" s="18">
        <v>45944</v>
      </c>
      <c r="G831">
        <v>44</v>
      </c>
      <c r="H831">
        <v>4.7</v>
      </c>
      <c r="I831">
        <f>IF(MONTH(calls[[#This Row],[Date of Call]])&lt;=6, YEAR(calls[[#This Row],[Date of Call]]), YEAR(calls[[#This Row],[Date of Call]])+1)</f>
        <v>2026</v>
      </c>
      <c r="J831" t="str">
        <f>TEXT(calls[[#This Row],[Date of Call]],"DDDD")</f>
        <v>Tuesday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903</v>
      </c>
      <c r="C832" t="s">
        <v>46</v>
      </c>
      <c r="D832">
        <v>132</v>
      </c>
      <c r="E832" s="17" t="s">
        <v>34</v>
      </c>
      <c r="F832" s="18">
        <v>45944</v>
      </c>
      <c r="G832">
        <v>140</v>
      </c>
      <c r="H832">
        <v>4.3</v>
      </c>
      <c r="I832">
        <f>IF(MONTH(calls[[#This Row],[Date of Call]])&lt;=6, YEAR(calls[[#This Row],[Date of Call]]), YEAR(calls[[#This Row],[Date of Call]])+1)</f>
        <v>2026</v>
      </c>
      <c r="J832" t="str">
        <f>TEXT(calls[[#This Row],[Date of Call]],"DDDD")</f>
        <v>Tuesday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904</v>
      </c>
      <c r="C833" t="s">
        <v>55</v>
      </c>
      <c r="D833">
        <v>67</v>
      </c>
      <c r="E833" s="17" t="s">
        <v>34</v>
      </c>
      <c r="F833" s="18">
        <v>45944</v>
      </c>
      <c r="G833">
        <v>105</v>
      </c>
      <c r="H833">
        <v>3.8</v>
      </c>
      <c r="I833">
        <f>IF(MONTH(calls[[#This Row],[Date of Call]])&lt;=6, YEAR(calls[[#This Row],[Date of Call]]), YEAR(calls[[#This Row],[Date of Call]])+1)</f>
        <v>2026</v>
      </c>
      <c r="J833" t="str">
        <f>TEXT(calls[[#This Row],[Date of Call]],"DDDD")</f>
        <v>Tuesday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905</v>
      </c>
      <c r="C834" t="s">
        <v>50</v>
      </c>
      <c r="D834">
        <v>125</v>
      </c>
      <c r="E834" s="17" t="s">
        <v>34</v>
      </c>
      <c r="F834" s="18">
        <v>45944</v>
      </c>
      <c r="G834">
        <v>82</v>
      </c>
      <c r="H834">
        <v>4.5999999999999996</v>
      </c>
      <c r="I834">
        <f>IF(MONTH(calls[[#This Row],[Date of Call]])&lt;=6, YEAR(calls[[#This Row],[Date of Call]]), YEAR(calls[[#This Row],[Date of Call]])+1)</f>
        <v>2026</v>
      </c>
      <c r="J834" t="str">
        <f>TEXT(calls[[#This Row],[Date of Call]],"DDDD")</f>
        <v>Tuesday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906</v>
      </c>
      <c r="C835" t="s">
        <v>45</v>
      </c>
      <c r="D835">
        <v>23</v>
      </c>
      <c r="E835" s="17" t="s">
        <v>38</v>
      </c>
      <c r="F835" s="18">
        <v>45944</v>
      </c>
      <c r="G835">
        <v>24</v>
      </c>
      <c r="H835">
        <v>2.9</v>
      </c>
      <c r="I835">
        <f>IF(MONTH(calls[[#This Row],[Date of Call]])&lt;=6, YEAR(calls[[#This Row],[Date of Call]]), YEAR(calls[[#This Row],[Date of Call]])+1)</f>
        <v>2026</v>
      </c>
      <c r="J835" t="str">
        <f>TEXT(calls[[#This Row],[Date of Call]],"DDDD")</f>
        <v>Tuesday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907</v>
      </c>
      <c r="C836" t="s">
        <v>47</v>
      </c>
      <c r="D836">
        <v>131</v>
      </c>
      <c r="E836" s="17" t="s">
        <v>36</v>
      </c>
      <c r="F836" s="18">
        <v>45945</v>
      </c>
      <c r="G836">
        <v>205</v>
      </c>
      <c r="H836">
        <v>4.8</v>
      </c>
      <c r="I836">
        <f>IF(MONTH(calls[[#This Row],[Date of Call]])&lt;=6, YEAR(calls[[#This Row],[Date of Call]]), YEAR(calls[[#This Row],[Date of Call]])+1)</f>
        <v>2026</v>
      </c>
      <c r="J836" t="str">
        <f>TEXT(calls[[#This Row],[Date of Call]],"DDDD")</f>
        <v>Wednesday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908</v>
      </c>
      <c r="C837" t="s">
        <v>46</v>
      </c>
      <c r="D837">
        <v>56</v>
      </c>
      <c r="E837" s="17" t="s">
        <v>35</v>
      </c>
      <c r="F837" s="18">
        <v>45945</v>
      </c>
      <c r="G837">
        <v>225</v>
      </c>
      <c r="H837">
        <v>4.9000000000000004</v>
      </c>
      <c r="I837">
        <f>IF(MONTH(calls[[#This Row],[Date of Call]])&lt;=6, YEAR(calls[[#This Row],[Date of Call]]), YEAR(calls[[#This Row],[Date of Call]])+1)</f>
        <v>2026</v>
      </c>
      <c r="J837" t="str">
        <f>TEXT(calls[[#This Row],[Date of Call]],"DDDD")</f>
        <v>Wednesday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909</v>
      </c>
      <c r="C838" t="s">
        <v>47</v>
      </c>
      <c r="D838">
        <v>70</v>
      </c>
      <c r="E838" s="17" t="s">
        <v>36</v>
      </c>
      <c r="F838" s="18">
        <v>45945</v>
      </c>
      <c r="G838">
        <v>50</v>
      </c>
      <c r="H838">
        <v>3.4</v>
      </c>
      <c r="I838">
        <f>IF(MONTH(calls[[#This Row],[Date of Call]])&lt;=6, YEAR(calls[[#This Row],[Date of Call]]), YEAR(calls[[#This Row],[Date of Call]])+1)</f>
        <v>2026</v>
      </c>
      <c r="J838" t="str">
        <f>TEXT(calls[[#This Row],[Date of Call]],"DDDD")</f>
        <v>Wednesday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910</v>
      </c>
      <c r="C839" t="s">
        <v>47</v>
      </c>
      <c r="D839">
        <v>55</v>
      </c>
      <c r="E839" s="17" t="s">
        <v>34</v>
      </c>
      <c r="F839" s="18">
        <v>45945</v>
      </c>
      <c r="G839">
        <v>80</v>
      </c>
      <c r="H839">
        <v>4.3</v>
      </c>
      <c r="I839">
        <f>IF(MONTH(calls[[#This Row],[Date of Call]])&lt;=6, YEAR(calls[[#This Row],[Date of Call]]), YEAR(calls[[#This Row],[Date of Call]])+1)</f>
        <v>2026</v>
      </c>
      <c r="J839" t="str">
        <f>TEXT(calls[[#This Row],[Date of Call]],"DDDD")</f>
        <v>Wednesday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911</v>
      </c>
      <c r="C840" t="s">
        <v>50</v>
      </c>
      <c r="D840">
        <v>77</v>
      </c>
      <c r="E840" s="17" t="s">
        <v>35</v>
      </c>
      <c r="F840" s="18">
        <v>45945</v>
      </c>
      <c r="G840">
        <v>78</v>
      </c>
      <c r="H840">
        <v>3.9</v>
      </c>
      <c r="I840">
        <f>IF(MONTH(calls[[#This Row],[Date of Call]])&lt;=6, YEAR(calls[[#This Row],[Date of Call]]), YEAR(calls[[#This Row],[Date of Call]])+1)</f>
        <v>2026</v>
      </c>
      <c r="J840" t="str">
        <f>TEXT(calls[[#This Row],[Date of Call]],"DDDD")</f>
        <v>Wednesday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912</v>
      </c>
      <c r="C841" t="s">
        <v>59</v>
      </c>
      <c r="D841">
        <v>133</v>
      </c>
      <c r="E841" s="17" t="s">
        <v>36</v>
      </c>
      <c r="F841" s="18">
        <v>45946</v>
      </c>
      <c r="G841">
        <v>40</v>
      </c>
      <c r="H841">
        <v>3.9</v>
      </c>
      <c r="I841">
        <f>IF(MONTH(calls[[#This Row],[Date of Call]])&lt;=6, YEAR(calls[[#This Row],[Date of Call]]), YEAR(calls[[#This Row],[Date of Call]])+1)</f>
        <v>2026</v>
      </c>
      <c r="J841" t="str">
        <f>TEXT(calls[[#This Row],[Date of Call]],"DDDD")</f>
        <v>Thursday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913</v>
      </c>
      <c r="C842" t="s">
        <v>50</v>
      </c>
      <c r="D842">
        <v>77</v>
      </c>
      <c r="E842" s="17" t="s">
        <v>35</v>
      </c>
      <c r="F842" s="18">
        <v>45946</v>
      </c>
      <c r="G842">
        <v>176</v>
      </c>
      <c r="H842">
        <v>1.5</v>
      </c>
      <c r="I842">
        <f>IF(MONTH(calls[[#This Row],[Date of Call]])&lt;=6, YEAR(calls[[#This Row],[Date of Call]]), YEAR(calls[[#This Row],[Date of Call]])+1)</f>
        <v>2026</v>
      </c>
      <c r="J842" t="str">
        <f>TEXT(calls[[#This Row],[Date of Call]],"DDDD")</f>
        <v>Thursday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914</v>
      </c>
      <c r="C843" t="s">
        <v>54</v>
      </c>
      <c r="D843">
        <v>103</v>
      </c>
      <c r="E843" s="17" t="s">
        <v>36</v>
      </c>
      <c r="F843" s="18">
        <v>45946</v>
      </c>
      <c r="G843">
        <v>78</v>
      </c>
      <c r="H843">
        <v>3</v>
      </c>
      <c r="I843">
        <f>IF(MONTH(calls[[#This Row],[Date of Call]])&lt;=6, YEAR(calls[[#This Row],[Date of Call]]), YEAR(calls[[#This Row],[Date of Call]])+1)</f>
        <v>2026</v>
      </c>
      <c r="J843" t="str">
        <f>TEXT(calls[[#This Row],[Date of Call]],"DDDD")</f>
        <v>Thursday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915</v>
      </c>
      <c r="C844" t="s">
        <v>51</v>
      </c>
      <c r="D844">
        <v>32</v>
      </c>
      <c r="E844" s="17" t="s">
        <v>35</v>
      </c>
      <c r="F844" s="18">
        <v>45946</v>
      </c>
      <c r="G844">
        <v>42</v>
      </c>
      <c r="H844">
        <v>4.2</v>
      </c>
      <c r="I844">
        <f>IF(MONTH(calls[[#This Row],[Date of Call]])&lt;=6, YEAR(calls[[#This Row],[Date of Call]]), YEAR(calls[[#This Row],[Date of Call]])+1)</f>
        <v>2026</v>
      </c>
      <c r="J844" t="str">
        <f>TEXT(calls[[#This Row],[Date of Call]],"DDDD")</f>
        <v>Thursday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916</v>
      </c>
      <c r="C845" t="s">
        <v>59</v>
      </c>
      <c r="D845">
        <v>30</v>
      </c>
      <c r="E845" s="17" t="s">
        <v>36</v>
      </c>
      <c r="F845" s="18">
        <v>45946</v>
      </c>
      <c r="G845">
        <v>38</v>
      </c>
      <c r="H845">
        <v>3.7</v>
      </c>
      <c r="I845">
        <f>IF(MONTH(calls[[#This Row],[Date of Call]])&lt;=6, YEAR(calls[[#This Row],[Date of Call]]), YEAR(calls[[#This Row],[Date of Call]])+1)</f>
        <v>2026</v>
      </c>
      <c r="J845" t="str">
        <f>TEXT(calls[[#This Row],[Date of Call]],"DDDD")</f>
        <v>Thursday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917</v>
      </c>
      <c r="C846" t="s">
        <v>56</v>
      </c>
      <c r="D846">
        <v>87</v>
      </c>
      <c r="E846" s="17" t="s">
        <v>37</v>
      </c>
      <c r="F846" s="18">
        <v>45946</v>
      </c>
      <c r="G846">
        <v>27</v>
      </c>
      <c r="H846">
        <v>4.2</v>
      </c>
      <c r="I846">
        <f>IF(MONTH(calls[[#This Row],[Date of Call]])&lt;=6, YEAR(calls[[#This Row],[Date of Call]]), YEAR(calls[[#This Row],[Date of Call]])+1)</f>
        <v>2026</v>
      </c>
      <c r="J846" t="str">
        <f>TEXT(calls[[#This Row],[Date of Call]],"DDDD")</f>
        <v>Thursday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918</v>
      </c>
      <c r="C847" t="s">
        <v>50</v>
      </c>
      <c r="D847">
        <v>137</v>
      </c>
      <c r="E847" s="17" t="s">
        <v>38</v>
      </c>
      <c r="F847" s="18">
        <v>45947</v>
      </c>
      <c r="G847">
        <v>45</v>
      </c>
      <c r="H847">
        <v>4.4000000000000004</v>
      </c>
      <c r="I847">
        <f>IF(MONTH(calls[[#This Row],[Date of Call]])&lt;=6, YEAR(calls[[#This Row],[Date of Call]]), YEAR(calls[[#This Row],[Date of Call]])+1)</f>
        <v>2026</v>
      </c>
      <c r="J847" t="str">
        <f>TEXT(calls[[#This Row],[Date of Call]],"DDDD")</f>
        <v>Friday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919</v>
      </c>
      <c r="C848" t="s">
        <v>53</v>
      </c>
      <c r="D848">
        <v>96</v>
      </c>
      <c r="E848" s="17" t="s">
        <v>36</v>
      </c>
      <c r="F848" s="18">
        <v>45947</v>
      </c>
      <c r="G848">
        <v>215</v>
      </c>
      <c r="H848">
        <v>4</v>
      </c>
      <c r="I848">
        <f>IF(MONTH(calls[[#This Row],[Date of Call]])&lt;=6, YEAR(calls[[#This Row],[Date of Call]]), YEAR(calls[[#This Row],[Date of Call]])+1)</f>
        <v>2026</v>
      </c>
      <c r="J848" t="str">
        <f>TEXT(calls[[#This Row],[Date of Call]],"DDDD")</f>
        <v>Friday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920</v>
      </c>
      <c r="C849" t="s">
        <v>52</v>
      </c>
      <c r="D849">
        <v>155</v>
      </c>
      <c r="E849" s="17" t="s">
        <v>36</v>
      </c>
      <c r="F849" s="18">
        <v>45948</v>
      </c>
      <c r="G849">
        <v>72</v>
      </c>
      <c r="H849">
        <v>4.7</v>
      </c>
      <c r="I849">
        <f>IF(MONTH(calls[[#This Row],[Date of Call]])&lt;=6, YEAR(calls[[#This Row],[Date of Call]]), YEAR(calls[[#This Row],[Date of Call]])+1)</f>
        <v>2026</v>
      </c>
      <c r="J849" t="str">
        <f>TEXT(calls[[#This Row],[Date of Call]],"DDDD")</f>
        <v>Saturday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921</v>
      </c>
      <c r="C850" t="s">
        <v>59</v>
      </c>
      <c r="D850">
        <v>173</v>
      </c>
      <c r="E850" s="17" t="s">
        <v>34</v>
      </c>
      <c r="F850" s="18">
        <v>45948</v>
      </c>
      <c r="G850">
        <v>160</v>
      </c>
      <c r="H850">
        <v>2.8</v>
      </c>
      <c r="I850">
        <f>IF(MONTH(calls[[#This Row],[Date of Call]])&lt;=6, YEAR(calls[[#This Row],[Date of Call]]), YEAR(calls[[#This Row],[Date of Call]])+1)</f>
        <v>2026</v>
      </c>
      <c r="J850" t="str">
        <f>TEXT(calls[[#This Row],[Date of Call]],"DDDD")</f>
        <v>Saturday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922</v>
      </c>
      <c r="C851" t="s">
        <v>52</v>
      </c>
      <c r="D851">
        <v>127</v>
      </c>
      <c r="E851" s="17" t="s">
        <v>36</v>
      </c>
      <c r="F851" s="18">
        <v>45948</v>
      </c>
      <c r="G851">
        <v>165</v>
      </c>
      <c r="H851">
        <v>2.5</v>
      </c>
      <c r="I851">
        <f>IF(MONTH(calls[[#This Row],[Date of Call]])&lt;=6, YEAR(calls[[#This Row],[Date of Call]]), YEAR(calls[[#This Row],[Date of Call]])+1)</f>
        <v>2026</v>
      </c>
      <c r="J851" t="str">
        <f>TEXT(calls[[#This Row],[Date of Call]],"DDDD")</f>
        <v>Saturday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923</v>
      </c>
      <c r="C852" t="s">
        <v>46</v>
      </c>
      <c r="D852">
        <v>117</v>
      </c>
      <c r="E852" s="17" t="s">
        <v>34</v>
      </c>
      <c r="F852" s="18">
        <v>45948</v>
      </c>
      <c r="G852">
        <v>120</v>
      </c>
      <c r="H852">
        <v>3.4</v>
      </c>
      <c r="I852">
        <f>IF(MONTH(calls[[#This Row],[Date of Call]])&lt;=6, YEAR(calls[[#This Row],[Date of Call]]), YEAR(calls[[#This Row],[Date of Call]])+1)</f>
        <v>2026</v>
      </c>
      <c r="J852" t="str">
        <f>TEXT(calls[[#This Row],[Date of Call]],"DDDD")</f>
        <v>Saturday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924</v>
      </c>
      <c r="C853" t="s">
        <v>45</v>
      </c>
      <c r="D853">
        <v>133</v>
      </c>
      <c r="E853" s="17" t="s">
        <v>35</v>
      </c>
      <c r="F853" s="18">
        <v>45948</v>
      </c>
      <c r="G853">
        <v>117</v>
      </c>
      <c r="H853">
        <v>4.8</v>
      </c>
      <c r="I853">
        <f>IF(MONTH(calls[[#This Row],[Date of Call]])&lt;=6, YEAR(calls[[#This Row],[Date of Call]]), YEAR(calls[[#This Row],[Date of Call]])+1)</f>
        <v>2026</v>
      </c>
      <c r="J853" t="str">
        <f>TEXT(calls[[#This Row],[Date of Call]],"DDDD")</f>
        <v>Saturday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925</v>
      </c>
      <c r="C854" t="s">
        <v>49</v>
      </c>
      <c r="D854">
        <v>166</v>
      </c>
      <c r="E854" s="17" t="s">
        <v>37</v>
      </c>
      <c r="F854" s="18">
        <v>45949</v>
      </c>
      <c r="G854">
        <v>29</v>
      </c>
      <c r="H854">
        <v>4.3</v>
      </c>
      <c r="I854">
        <f>IF(MONTH(calls[[#This Row],[Date of Call]])&lt;=6, YEAR(calls[[#This Row],[Date of Call]]), YEAR(calls[[#This Row],[Date of Call]])+1)</f>
        <v>2026</v>
      </c>
      <c r="J854" t="str">
        <f>TEXT(calls[[#This Row],[Date of Call]],"DDDD")</f>
        <v>Sunday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926</v>
      </c>
      <c r="C855" t="s">
        <v>45</v>
      </c>
      <c r="D855">
        <v>50</v>
      </c>
      <c r="E855" s="17" t="s">
        <v>34</v>
      </c>
      <c r="F855" s="18">
        <v>45949</v>
      </c>
      <c r="G855">
        <v>64</v>
      </c>
      <c r="H855">
        <v>4.5</v>
      </c>
      <c r="I855">
        <f>IF(MONTH(calls[[#This Row],[Date of Call]])&lt;=6, YEAR(calls[[#This Row],[Date of Call]]), YEAR(calls[[#This Row],[Date of Call]])+1)</f>
        <v>2026</v>
      </c>
      <c r="J855" t="str">
        <f>TEXT(calls[[#This Row],[Date of Call]],"DDDD")</f>
        <v>Sunday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927</v>
      </c>
      <c r="C856" t="s">
        <v>54</v>
      </c>
      <c r="D856">
        <v>43</v>
      </c>
      <c r="E856" s="17" t="s">
        <v>35</v>
      </c>
      <c r="F856" s="18">
        <v>45949</v>
      </c>
      <c r="G856">
        <v>84</v>
      </c>
      <c r="H856">
        <v>3.6</v>
      </c>
      <c r="I856">
        <f>IF(MONTH(calls[[#This Row],[Date of Call]])&lt;=6, YEAR(calls[[#This Row],[Date of Call]]), YEAR(calls[[#This Row],[Date of Call]])+1)</f>
        <v>2026</v>
      </c>
      <c r="J856" t="str">
        <f>TEXT(calls[[#This Row],[Date of Call]],"DDDD")</f>
        <v>Sunday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928</v>
      </c>
      <c r="C857" t="s">
        <v>53</v>
      </c>
      <c r="D857">
        <v>124</v>
      </c>
      <c r="E857" s="17" t="s">
        <v>36</v>
      </c>
      <c r="F857" s="18">
        <v>45949</v>
      </c>
      <c r="G857">
        <v>42</v>
      </c>
      <c r="H857">
        <v>3.7</v>
      </c>
      <c r="I857">
        <f>IF(MONTH(calls[[#This Row],[Date of Call]])&lt;=6, YEAR(calls[[#This Row],[Date of Call]]), YEAR(calls[[#This Row],[Date of Call]])+1)</f>
        <v>2026</v>
      </c>
      <c r="J857" t="str">
        <f>TEXT(calls[[#This Row],[Date of Call]],"DDDD")</f>
        <v>Sunday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929</v>
      </c>
      <c r="C858" t="s">
        <v>59</v>
      </c>
      <c r="D858">
        <v>94</v>
      </c>
      <c r="E858" s="17" t="s">
        <v>36</v>
      </c>
      <c r="F858" s="18">
        <v>45949</v>
      </c>
      <c r="G858">
        <v>120</v>
      </c>
      <c r="H858">
        <v>3.5</v>
      </c>
      <c r="I858">
        <f>IF(MONTH(calls[[#This Row],[Date of Call]])&lt;=6, YEAR(calls[[#This Row],[Date of Call]]), YEAR(calls[[#This Row],[Date of Call]])+1)</f>
        <v>2026</v>
      </c>
      <c r="J858" t="str">
        <f>TEXT(calls[[#This Row],[Date of Call]],"DDDD")</f>
        <v>Sunday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930</v>
      </c>
      <c r="C859" t="s">
        <v>54</v>
      </c>
      <c r="D859">
        <v>126</v>
      </c>
      <c r="E859" s="17" t="s">
        <v>37</v>
      </c>
      <c r="F859" s="18">
        <v>45950</v>
      </c>
      <c r="G859">
        <v>80</v>
      </c>
      <c r="H859">
        <v>4.7</v>
      </c>
      <c r="I859">
        <f>IF(MONTH(calls[[#This Row],[Date of Call]])&lt;=6, YEAR(calls[[#This Row],[Date of Call]]), YEAR(calls[[#This Row],[Date of Call]])+1)</f>
        <v>2026</v>
      </c>
      <c r="J859" t="str">
        <f>TEXT(calls[[#This Row],[Date of Call]],"DDDD")</f>
        <v>Monday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931</v>
      </c>
      <c r="C860" t="s">
        <v>49</v>
      </c>
      <c r="D860">
        <v>105</v>
      </c>
      <c r="E860" s="17" t="s">
        <v>34</v>
      </c>
      <c r="F860" s="18">
        <v>45950</v>
      </c>
      <c r="G860">
        <v>185</v>
      </c>
      <c r="H860">
        <v>3.5</v>
      </c>
      <c r="I860">
        <f>IF(MONTH(calls[[#This Row],[Date of Call]])&lt;=6, YEAR(calls[[#This Row],[Date of Call]]), YEAR(calls[[#This Row],[Date of Call]])+1)</f>
        <v>2026</v>
      </c>
      <c r="J860" t="str">
        <f>TEXT(calls[[#This Row],[Date of Call]],"DDDD")</f>
        <v>Monday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932</v>
      </c>
      <c r="C861" t="s">
        <v>47</v>
      </c>
      <c r="D861">
        <v>60</v>
      </c>
      <c r="E861" s="17" t="s">
        <v>38</v>
      </c>
      <c r="F861" s="18">
        <v>45951</v>
      </c>
      <c r="G861">
        <v>135</v>
      </c>
      <c r="H861">
        <v>3.9</v>
      </c>
      <c r="I861">
        <f>IF(MONTH(calls[[#This Row],[Date of Call]])&lt;=6, YEAR(calls[[#This Row],[Date of Call]]), YEAR(calls[[#This Row],[Date of Call]])+1)</f>
        <v>2026</v>
      </c>
      <c r="J861" t="str">
        <f>TEXT(calls[[#This Row],[Date of Call]],"DDDD")</f>
        <v>Tuesday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933</v>
      </c>
      <c r="C862" t="s">
        <v>47</v>
      </c>
      <c r="D862">
        <v>72</v>
      </c>
      <c r="E862" s="17" t="s">
        <v>34</v>
      </c>
      <c r="F862" s="18">
        <v>45951</v>
      </c>
      <c r="G862">
        <v>20</v>
      </c>
      <c r="H862">
        <v>4.8</v>
      </c>
      <c r="I862">
        <f>IF(MONTH(calls[[#This Row],[Date of Call]])&lt;=6, YEAR(calls[[#This Row],[Date of Call]]), YEAR(calls[[#This Row],[Date of Call]])+1)</f>
        <v>2026</v>
      </c>
      <c r="J862" t="str">
        <f>TEXT(calls[[#This Row],[Date of Call]],"DDDD")</f>
        <v>Tuesday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934</v>
      </c>
      <c r="C863" t="s">
        <v>48</v>
      </c>
      <c r="D863">
        <v>40</v>
      </c>
      <c r="E863" s="17" t="s">
        <v>34</v>
      </c>
      <c r="F863" s="18">
        <v>45951</v>
      </c>
      <c r="G863">
        <v>31</v>
      </c>
      <c r="H863">
        <v>4</v>
      </c>
      <c r="I863">
        <f>IF(MONTH(calls[[#This Row],[Date of Call]])&lt;=6, YEAR(calls[[#This Row],[Date of Call]]), YEAR(calls[[#This Row],[Date of Call]])+1)</f>
        <v>2026</v>
      </c>
      <c r="J863" t="str">
        <f>TEXT(calls[[#This Row],[Date of Call]],"DDDD")</f>
        <v>Tuesday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935</v>
      </c>
      <c r="C864" t="s">
        <v>51</v>
      </c>
      <c r="D864">
        <v>54</v>
      </c>
      <c r="E864" s="17" t="s">
        <v>37</v>
      </c>
      <c r="F864" s="18">
        <v>45952</v>
      </c>
      <c r="G864">
        <v>120</v>
      </c>
      <c r="H864">
        <v>4.7</v>
      </c>
      <c r="I864">
        <f>IF(MONTH(calls[[#This Row],[Date of Call]])&lt;=6, YEAR(calls[[#This Row],[Date of Call]]), YEAR(calls[[#This Row],[Date of Call]])+1)</f>
        <v>2026</v>
      </c>
      <c r="J864" t="str">
        <f>TEXT(calls[[#This Row],[Date of Call]],"DDDD")</f>
        <v>Wednesday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936</v>
      </c>
      <c r="C865" t="s">
        <v>46</v>
      </c>
      <c r="D865">
        <v>81</v>
      </c>
      <c r="E865" s="17" t="s">
        <v>35</v>
      </c>
      <c r="F865" s="18">
        <v>45952</v>
      </c>
      <c r="G865">
        <v>117</v>
      </c>
      <c r="H865">
        <v>3.6</v>
      </c>
      <c r="I865">
        <f>IF(MONTH(calls[[#This Row],[Date of Call]])&lt;=6, YEAR(calls[[#This Row],[Date of Call]]), YEAR(calls[[#This Row],[Date of Call]])+1)</f>
        <v>2026</v>
      </c>
      <c r="J865" t="str">
        <f>TEXT(calls[[#This Row],[Date of Call]],"DDDD")</f>
        <v>Wednesday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937</v>
      </c>
      <c r="C866" t="s">
        <v>51</v>
      </c>
      <c r="D866">
        <v>76</v>
      </c>
      <c r="E866" s="17" t="s">
        <v>36</v>
      </c>
      <c r="F866" s="18">
        <v>45952</v>
      </c>
      <c r="G866">
        <v>80</v>
      </c>
      <c r="H866">
        <v>4.5</v>
      </c>
      <c r="I866">
        <f>IF(MONTH(calls[[#This Row],[Date of Call]])&lt;=6, YEAR(calls[[#This Row],[Date of Call]]), YEAR(calls[[#This Row],[Date of Call]])+1)</f>
        <v>2026</v>
      </c>
      <c r="J866" t="str">
        <f>TEXT(calls[[#This Row],[Date of Call]],"DDDD")</f>
        <v>Wednesday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938</v>
      </c>
      <c r="C867" t="s">
        <v>51</v>
      </c>
      <c r="D867">
        <v>37</v>
      </c>
      <c r="E867" s="17" t="s">
        <v>38</v>
      </c>
      <c r="F867" s="18">
        <v>45953</v>
      </c>
      <c r="G867">
        <v>117</v>
      </c>
      <c r="H867">
        <v>4</v>
      </c>
      <c r="I867">
        <f>IF(MONTH(calls[[#This Row],[Date of Call]])&lt;=6, YEAR(calls[[#This Row],[Date of Call]]), YEAR(calls[[#This Row],[Date of Call]])+1)</f>
        <v>2026</v>
      </c>
      <c r="J867" t="str">
        <f>TEXT(calls[[#This Row],[Date of Call]],"DDDD")</f>
        <v>Thursday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939</v>
      </c>
      <c r="C868" t="s">
        <v>49</v>
      </c>
      <c r="D868">
        <v>96</v>
      </c>
      <c r="E868" s="17" t="s">
        <v>37</v>
      </c>
      <c r="F868" s="18">
        <v>45953</v>
      </c>
      <c r="G868">
        <v>60</v>
      </c>
      <c r="H868">
        <v>4.5</v>
      </c>
      <c r="I868">
        <f>IF(MONTH(calls[[#This Row],[Date of Call]])&lt;=6, YEAR(calls[[#This Row],[Date of Call]]), YEAR(calls[[#This Row],[Date of Call]])+1)</f>
        <v>2026</v>
      </c>
      <c r="J868" t="str">
        <f>TEXT(calls[[#This Row],[Date of Call]],"DDDD")</f>
        <v>Thursday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940</v>
      </c>
      <c r="C869" t="s">
        <v>47</v>
      </c>
      <c r="D869">
        <v>19</v>
      </c>
      <c r="E869" s="17" t="s">
        <v>36</v>
      </c>
      <c r="F869" s="18">
        <v>45954</v>
      </c>
      <c r="G869">
        <v>58</v>
      </c>
      <c r="H869">
        <v>3.9</v>
      </c>
      <c r="I869">
        <f>IF(MONTH(calls[[#This Row],[Date of Call]])&lt;=6, YEAR(calls[[#This Row],[Date of Call]]), YEAR(calls[[#This Row],[Date of Call]])+1)</f>
        <v>2026</v>
      </c>
      <c r="J869" t="str">
        <f>TEXT(calls[[#This Row],[Date of Call]],"DDDD")</f>
        <v>Friday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941</v>
      </c>
      <c r="C870" t="s">
        <v>48</v>
      </c>
      <c r="D870">
        <v>72</v>
      </c>
      <c r="E870" s="17" t="s">
        <v>38</v>
      </c>
      <c r="F870" s="18">
        <v>45954</v>
      </c>
      <c r="G870">
        <v>41</v>
      </c>
      <c r="H870">
        <v>4.3</v>
      </c>
      <c r="I870">
        <f>IF(MONTH(calls[[#This Row],[Date of Call]])&lt;=6, YEAR(calls[[#This Row],[Date of Call]]), YEAR(calls[[#This Row],[Date of Call]])+1)</f>
        <v>2026</v>
      </c>
      <c r="J870" t="str">
        <f>TEXT(calls[[#This Row],[Date of Call]],"DDDD")</f>
        <v>Friday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942</v>
      </c>
      <c r="C871" t="s">
        <v>59</v>
      </c>
      <c r="D871">
        <v>73</v>
      </c>
      <c r="E871" s="17" t="s">
        <v>35</v>
      </c>
      <c r="F871" s="18">
        <v>45954</v>
      </c>
      <c r="G871">
        <v>180</v>
      </c>
      <c r="H871">
        <v>3.6</v>
      </c>
      <c r="I871">
        <f>IF(MONTH(calls[[#This Row],[Date of Call]])&lt;=6, YEAR(calls[[#This Row],[Date of Call]]), YEAR(calls[[#This Row],[Date of Call]])+1)</f>
        <v>2026</v>
      </c>
      <c r="J871" t="str">
        <f>TEXT(calls[[#This Row],[Date of Call]],"DDDD")</f>
        <v>Friday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943</v>
      </c>
      <c r="C872" t="s">
        <v>55</v>
      </c>
      <c r="D872">
        <v>87</v>
      </c>
      <c r="E872" s="17" t="s">
        <v>35</v>
      </c>
      <c r="F872" s="18">
        <v>45954</v>
      </c>
      <c r="G872">
        <v>42</v>
      </c>
      <c r="H872">
        <v>3.6</v>
      </c>
      <c r="I872">
        <f>IF(MONTH(calls[[#This Row],[Date of Call]])&lt;=6, YEAR(calls[[#This Row],[Date of Call]]), YEAR(calls[[#This Row],[Date of Call]])+1)</f>
        <v>2026</v>
      </c>
      <c r="J872" t="str">
        <f>TEXT(calls[[#This Row],[Date of Call]],"DDDD")</f>
        <v>Friday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944</v>
      </c>
      <c r="C873" t="s">
        <v>55</v>
      </c>
      <c r="D873">
        <v>68</v>
      </c>
      <c r="E873" s="17" t="s">
        <v>35</v>
      </c>
      <c r="F873" s="18">
        <v>45955</v>
      </c>
      <c r="G873">
        <v>24</v>
      </c>
      <c r="H873">
        <v>4</v>
      </c>
      <c r="I873">
        <f>IF(MONTH(calls[[#This Row],[Date of Call]])&lt;=6, YEAR(calls[[#This Row],[Date of Call]]), YEAR(calls[[#This Row],[Date of Call]])+1)</f>
        <v>2026</v>
      </c>
      <c r="J873" t="str">
        <f>TEXT(calls[[#This Row],[Date of Call]],"DDDD")</f>
        <v>Saturday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945</v>
      </c>
      <c r="C874" t="s">
        <v>48</v>
      </c>
      <c r="D874">
        <v>101</v>
      </c>
      <c r="E874" s="17" t="s">
        <v>35</v>
      </c>
      <c r="F874" s="18">
        <v>45955</v>
      </c>
      <c r="G874">
        <v>125</v>
      </c>
      <c r="H874">
        <v>4.2</v>
      </c>
      <c r="I874">
        <f>IF(MONTH(calls[[#This Row],[Date of Call]])&lt;=6, YEAR(calls[[#This Row],[Date of Call]]), YEAR(calls[[#This Row],[Date of Call]])+1)</f>
        <v>2026</v>
      </c>
      <c r="J874" t="str">
        <f>TEXT(calls[[#This Row],[Date of Call]],"DDDD")</f>
        <v>Saturday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946</v>
      </c>
      <c r="C875" t="s">
        <v>48</v>
      </c>
      <c r="D875">
        <v>107</v>
      </c>
      <c r="E875" s="17" t="s">
        <v>38</v>
      </c>
      <c r="F875" s="18">
        <v>45956</v>
      </c>
      <c r="G875">
        <v>78</v>
      </c>
      <c r="H875">
        <v>4.3</v>
      </c>
      <c r="I875">
        <f>IF(MONTH(calls[[#This Row],[Date of Call]])&lt;=6, YEAR(calls[[#This Row],[Date of Call]]), YEAR(calls[[#This Row],[Date of Call]])+1)</f>
        <v>2026</v>
      </c>
      <c r="J875" t="str">
        <f>TEXT(calls[[#This Row],[Date of Call]],"DDDD")</f>
        <v>Sunday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947</v>
      </c>
      <c r="C876" t="s">
        <v>58</v>
      </c>
      <c r="D876">
        <v>109</v>
      </c>
      <c r="E876" s="17" t="s">
        <v>34</v>
      </c>
      <c r="F876" s="18">
        <v>45956</v>
      </c>
      <c r="G876">
        <v>180</v>
      </c>
      <c r="H876">
        <v>3.8</v>
      </c>
      <c r="I876">
        <f>IF(MONTH(calls[[#This Row],[Date of Call]])&lt;=6, YEAR(calls[[#This Row],[Date of Call]]), YEAR(calls[[#This Row],[Date of Call]])+1)</f>
        <v>2026</v>
      </c>
      <c r="J876" t="str">
        <f>TEXT(calls[[#This Row],[Date of Call]],"DDDD")</f>
        <v>Sunday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948</v>
      </c>
      <c r="C877" t="s">
        <v>53</v>
      </c>
      <c r="D877">
        <v>171</v>
      </c>
      <c r="E877" s="17" t="s">
        <v>38</v>
      </c>
      <c r="F877" s="18">
        <v>45956</v>
      </c>
      <c r="G877">
        <v>84</v>
      </c>
      <c r="H877">
        <v>4.4000000000000004</v>
      </c>
      <c r="I877">
        <f>IF(MONTH(calls[[#This Row],[Date of Call]])&lt;=6, YEAR(calls[[#This Row],[Date of Call]]), YEAR(calls[[#This Row],[Date of Call]])+1)</f>
        <v>2026</v>
      </c>
      <c r="J877" t="str">
        <f>TEXT(calls[[#This Row],[Date of Call]],"DDDD")</f>
        <v>Sunday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949</v>
      </c>
      <c r="C878" t="s">
        <v>47</v>
      </c>
      <c r="D878">
        <v>21</v>
      </c>
      <c r="E878" s="17" t="s">
        <v>38</v>
      </c>
      <c r="F878" s="18">
        <v>45956</v>
      </c>
      <c r="G878">
        <v>26</v>
      </c>
      <c r="H878">
        <v>4.7</v>
      </c>
      <c r="I878">
        <f>IF(MONTH(calls[[#This Row],[Date of Call]])&lt;=6, YEAR(calls[[#This Row],[Date of Call]]), YEAR(calls[[#This Row],[Date of Call]])+1)</f>
        <v>2026</v>
      </c>
      <c r="J878" t="str">
        <f>TEXT(calls[[#This Row],[Date of Call]],"DDDD")</f>
        <v>Sunday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950</v>
      </c>
      <c r="C879" t="s">
        <v>46</v>
      </c>
      <c r="D879">
        <v>94</v>
      </c>
      <c r="E879" s="17" t="s">
        <v>38</v>
      </c>
      <c r="F879" s="18">
        <v>45957</v>
      </c>
      <c r="G879">
        <v>140</v>
      </c>
      <c r="H879">
        <v>3.6</v>
      </c>
      <c r="I879">
        <f>IF(MONTH(calls[[#This Row],[Date of Call]])&lt;=6, YEAR(calls[[#This Row],[Date of Call]]), YEAR(calls[[#This Row],[Date of Call]])+1)</f>
        <v>2026</v>
      </c>
      <c r="J879" t="str">
        <f>TEXT(calls[[#This Row],[Date of Call]],"DDDD")</f>
        <v>Monday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951</v>
      </c>
      <c r="C880" t="s">
        <v>59</v>
      </c>
      <c r="D880">
        <v>97</v>
      </c>
      <c r="E880" s="17" t="s">
        <v>34</v>
      </c>
      <c r="F880" s="18">
        <v>45957</v>
      </c>
      <c r="G880">
        <v>31</v>
      </c>
      <c r="H880">
        <v>2.2000000000000002</v>
      </c>
      <c r="I880">
        <f>IF(MONTH(calls[[#This Row],[Date of Call]])&lt;=6, YEAR(calls[[#This Row],[Date of Call]]), YEAR(calls[[#This Row],[Date of Call]])+1)</f>
        <v>2026</v>
      </c>
      <c r="J880" t="str">
        <f>TEXT(calls[[#This Row],[Date of Call]],"DDDD")</f>
        <v>Monday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952</v>
      </c>
      <c r="C881" t="s">
        <v>49</v>
      </c>
      <c r="D881">
        <v>72</v>
      </c>
      <c r="E881" s="17" t="s">
        <v>34</v>
      </c>
      <c r="F881" s="18">
        <v>45957</v>
      </c>
      <c r="G881">
        <v>108</v>
      </c>
      <c r="H881">
        <v>4.8</v>
      </c>
      <c r="I881">
        <f>IF(MONTH(calls[[#This Row],[Date of Call]])&lt;=6, YEAR(calls[[#This Row],[Date of Call]]), YEAR(calls[[#This Row],[Date of Call]])+1)</f>
        <v>2026</v>
      </c>
      <c r="J881" t="str">
        <f>TEXT(calls[[#This Row],[Date of Call]],"DDDD")</f>
        <v>Monday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953</v>
      </c>
      <c r="C882" t="s">
        <v>53</v>
      </c>
      <c r="D882">
        <v>143</v>
      </c>
      <c r="E882" s="17" t="s">
        <v>37</v>
      </c>
      <c r="F882" s="18">
        <v>45958</v>
      </c>
      <c r="G882">
        <v>58</v>
      </c>
      <c r="H882">
        <v>4.3</v>
      </c>
      <c r="I882">
        <f>IF(MONTH(calls[[#This Row],[Date of Call]])&lt;=6, YEAR(calls[[#This Row],[Date of Call]]), YEAR(calls[[#This Row],[Date of Call]])+1)</f>
        <v>2026</v>
      </c>
      <c r="J882" t="str">
        <f>TEXT(calls[[#This Row],[Date of Call]],"DDDD")</f>
        <v>Tuesday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954</v>
      </c>
      <c r="C883" t="s">
        <v>53</v>
      </c>
      <c r="D883">
        <v>64</v>
      </c>
      <c r="E883" s="17" t="s">
        <v>34</v>
      </c>
      <c r="F883" s="18">
        <v>45958</v>
      </c>
      <c r="G883">
        <v>185</v>
      </c>
      <c r="H883">
        <v>2.2000000000000002</v>
      </c>
      <c r="I883">
        <f>IF(MONTH(calls[[#This Row],[Date of Call]])&lt;=6, YEAR(calls[[#This Row],[Date of Call]]), YEAR(calls[[#This Row],[Date of Call]])+1)</f>
        <v>2026</v>
      </c>
      <c r="J883" t="str">
        <f>TEXT(calls[[#This Row],[Date of Call]],"DDDD")</f>
        <v>Tuesday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955</v>
      </c>
      <c r="C884" t="s">
        <v>53</v>
      </c>
      <c r="D884">
        <v>69</v>
      </c>
      <c r="E884" s="17" t="s">
        <v>34</v>
      </c>
      <c r="F884" s="18">
        <v>45958</v>
      </c>
      <c r="G884">
        <v>40</v>
      </c>
      <c r="H884">
        <v>4.8</v>
      </c>
      <c r="I884">
        <f>IF(MONTH(calls[[#This Row],[Date of Call]])&lt;=6, YEAR(calls[[#This Row],[Date of Call]]), YEAR(calls[[#This Row],[Date of Call]])+1)</f>
        <v>2026</v>
      </c>
      <c r="J884" t="str">
        <f>TEXT(calls[[#This Row],[Date of Call]],"DDDD")</f>
        <v>Tuesday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956</v>
      </c>
      <c r="C885" t="s">
        <v>53</v>
      </c>
      <c r="D885">
        <v>18</v>
      </c>
      <c r="E885" s="17" t="s">
        <v>36</v>
      </c>
      <c r="F885" s="18">
        <v>45958</v>
      </c>
      <c r="G885">
        <v>225</v>
      </c>
      <c r="H885">
        <v>2.6</v>
      </c>
      <c r="I885">
        <f>IF(MONTH(calls[[#This Row],[Date of Call]])&lt;=6, YEAR(calls[[#This Row],[Date of Call]]), YEAR(calls[[#This Row],[Date of Call]])+1)</f>
        <v>2026</v>
      </c>
      <c r="J885" t="str">
        <f>TEXT(calls[[#This Row],[Date of Call]],"DDDD")</f>
        <v>Tuesday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957</v>
      </c>
      <c r="C886" t="s">
        <v>59</v>
      </c>
      <c r="D886">
        <v>100</v>
      </c>
      <c r="E886" s="17" t="s">
        <v>37</v>
      </c>
      <c r="F886" s="18">
        <v>45958</v>
      </c>
      <c r="G886">
        <v>150</v>
      </c>
      <c r="H886">
        <v>2.6</v>
      </c>
      <c r="I886">
        <f>IF(MONTH(calls[[#This Row],[Date of Call]])&lt;=6, YEAR(calls[[#This Row],[Date of Call]]), YEAR(calls[[#This Row],[Date of Call]])+1)</f>
        <v>2026</v>
      </c>
      <c r="J886" t="str">
        <f>TEXT(calls[[#This Row],[Date of Call]],"DDDD")</f>
        <v>Tuesday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958</v>
      </c>
      <c r="C887" t="s">
        <v>52</v>
      </c>
      <c r="D887">
        <v>110</v>
      </c>
      <c r="E887" s="17" t="s">
        <v>35</v>
      </c>
      <c r="F887" s="18">
        <v>45959</v>
      </c>
      <c r="G887">
        <v>88</v>
      </c>
      <c r="H887">
        <v>3.4</v>
      </c>
      <c r="I887">
        <f>IF(MONTH(calls[[#This Row],[Date of Call]])&lt;=6, YEAR(calls[[#This Row],[Date of Call]]), YEAR(calls[[#This Row],[Date of Call]])+1)</f>
        <v>2026</v>
      </c>
      <c r="J887" t="str">
        <f>TEXT(calls[[#This Row],[Date of Call]],"DDDD")</f>
        <v>Wednesday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959</v>
      </c>
      <c r="C888" t="s">
        <v>57</v>
      </c>
      <c r="D888">
        <v>41</v>
      </c>
      <c r="E888" s="17" t="s">
        <v>38</v>
      </c>
      <c r="F888" s="18">
        <v>45959</v>
      </c>
      <c r="G888">
        <v>140</v>
      </c>
      <c r="H888">
        <v>3.7</v>
      </c>
      <c r="I888">
        <f>IF(MONTH(calls[[#This Row],[Date of Call]])&lt;=6, YEAR(calls[[#This Row],[Date of Call]]), YEAR(calls[[#This Row],[Date of Call]])+1)</f>
        <v>2026</v>
      </c>
      <c r="J888" t="str">
        <f>TEXT(calls[[#This Row],[Date of Call]],"DDDD")</f>
        <v>Wednesday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960</v>
      </c>
      <c r="C889" t="s">
        <v>52</v>
      </c>
      <c r="D889">
        <v>147</v>
      </c>
      <c r="E889" s="17" t="s">
        <v>35</v>
      </c>
      <c r="F889" s="18">
        <v>45959</v>
      </c>
      <c r="G889">
        <v>68</v>
      </c>
      <c r="H889">
        <v>2.1</v>
      </c>
      <c r="I889">
        <f>IF(MONTH(calls[[#This Row],[Date of Call]])&lt;=6, YEAR(calls[[#This Row],[Date of Call]]), YEAR(calls[[#This Row],[Date of Call]])+1)</f>
        <v>2026</v>
      </c>
      <c r="J889" t="str">
        <f>TEXT(calls[[#This Row],[Date of Call]],"DDDD")</f>
        <v>Wednesday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961</v>
      </c>
      <c r="C890" t="s">
        <v>46</v>
      </c>
      <c r="D890">
        <v>31</v>
      </c>
      <c r="E890" s="17" t="s">
        <v>36</v>
      </c>
      <c r="F890" s="18">
        <v>45960</v>
      </c>
      <c r="G890">
        <v>105</v>
      </c>
      <c r="H890">
        <v>3.6</v>
      </c>
      <c r="I890">
        <f>IF(MONTH(calls[[#This Row],[Date of Call]])&lt;=6, YEAR(calls[[#This Row],[Date of Call]]), YEAR(calls[[#This Row],[Date of Call]])+1)</f>
        <v>2026</v>
      </c>
      <c r="J890" t="str">
        <f>TEXT(calls[[#This Row],[Date of Call]],"DDDD")</f>
        <v>Thursday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962</v>
      </c>
      <c r="C891" t="s">
        <v>55</v>
      </c>
      <c r="D891">
        <v>142</v>
      </c>
      <c r="E891" s="17" t="s">
        <v>38</v>
      </c>
      <c r="F891" s="18">
        <v>45960</v>
      </c>
      <c r="G891">
        <v>40</v>
      </c>
      <c r="H891">
        <v>3.8</v>
      </c>
      <c r="I891">
        <f>IF(MONTH(calls[[#This Row],[Date of Call]])&lt;=6, YEAR(calls[[#This Row],[Date of Call]]), YEAR(calls[[#This Row],[Date of Call]])+1)</f>
        <v>2026</v>
      </c>
      <c r="J891" t="str">
        <f>TEXT(calls[[#This Row],[Date of Call]],"DDDD")</f>
        <v>Thursday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963</v>
      </c>
      <c r="C892" t="s">
        <v>58</v>
      </c>
      <c r="D892">
        <v>61</v>
      </c>
      <c r="E892" s="17" t="s">
        <v>38</v>
      </c>
      <c r="F892" s="18">
        <v>45960</v>
      </c>
      <c r="G892">
        <v>82</v>
      </c>
      <c r="H892">
        <v>3.1</v>
      </c>
      <c r="I892">
        <f>IF(MONTH(calls[[#This Row],[Date of Call]])&lt;=6, YEAR(calls[[#This Row],[Date of Call]]), YEAR(calls[[#This Row],[Date of Call]])+1)</f>
        <v>2026</v>
      </c>
      <c r="J892" t="str">
        <f>TEXT(calls[[#This Row],[Date of Call]],"DDDD")</f>
        <v>Thursday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964</v>
      </c>
      <c r="C893" t="s">
        <v>45</v>
      </c>
      <c r="D893">
        <v>86</v>
      </c>
      <c r="E893" s="17" t="s">
        <v>36</v>
      </c>
      <c r="F893" s="18">
        <v>45961</v>
      </c>
      <c r="G893">
        <v>90</v>
      </c>
      <c r="H893">
        <v>4.4000000000000004</v>
      </c>
      <c r="I893">
        <f>IF(MONTH(calls[[#This Row],[Date of Call]])&lt;=6, YEAR(calls[[#This Row],[Date of Call]]), YEAR(calls[[#This Row],[Date of Call]])+1)</f>
        <v>2026</v>
      </c>
      <c r="J893" t="str">
        <f>TEXT(calls[[#This Row],[Date of Call]],"DDDD")</f>
        <v>Friday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965</v>
      </c>
      <c r="C894" t="s">
        <v>56</v>
      </c>
      <c r="D894">
        <v>165</v>
      </c>
      <c r="E894" s="17" t="s">
        <v>37</v>
      </c>
      <c r="F894" s="18">
        <v>45962</v>
      </c>
      <c r="G894">
        <v>66</v>
      </c>
      <c r="H894">
        <v>4.8</v>
      </c>
      <c r="I894">
        <f>IF(MONTH(calls[[#This Row],[Date of Call]])&lt;=6, YEAR(calls[[#This Row],[Date of Call]]), YEAR(calls[[#This Row],[Date of Call]])+1)</f>
        <v>2026</v>
      </c>
      <c r="J894" t="str">
        <f>TEXT(calls[[#This Row],[Date of Call]],"DDDD")</f>
        <v>Saturday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966</v>
      </c>
      <c r="C895" t="s">
        <v>51</v>
      </c>
      <c r="D895">
        <v>62</v>
      </c>
      <c r="E895" s="17" t="s">
        <v>35</v>
      </c>
      <c r="F895" s="18">
        <v>45962</v>
      </c>
      <c r="G895">
        <v>78</v>
      </c>
      <c r="H895">
        <v>3.5</v>
      </c>
      <c r="I895">
        <f>IF(MONTH(calls[[#This Row],[Date of Call]])&lt;=6, YEAR(calls[[#This Row],[Date of Call]]), YEAR(calls[[#This Row],[Date of Call]])+1)</f>
        <v>2026</v>
      </c>
      <c r="J895" t="str">
        <f>TEXT(calls[[#This Row],[Date of Call]],"DDDD")</f>
        <v>Saturday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967</v>
      </c>
      <c r="C896" t="s">
        <v>59</v>
      </c>
      <c r="D896">
        <v>103</v>
      </c>
      <c r="E896" s="17" t="s">
        <v>37</v>
      </c>
      <c r="F896" s="18">
        <v>45963</v>
      </c>
      <c r="G896">
        <v>66</v>
      </c>
      <c r="H896">
        <v>4.4000000000000004</v>
      </c>
      <c r="I896">
        <f>IF(MONTH(calls[[#This Row],[Date of Call]])&lt;=6, YEAR(calls[[#This Row],[Date of Call]]), YEAR(calls[[#This Row],[Date of Call]])+1)</f>
        <v>2026</v>
      </c>
      <c r="J896" t="str">
        <f>TEXT(calls[[#This Row],[Date of Call]],"DDDD")</f>
        <v>Sunday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968</v>
      </c>
      <c r="C897" t="s">
        <v>55</v>
      </c>
      <c r="D897">
        <v>56</v>
      </c>
      <c r="E897" s="17" t="s">
        <v>36</v>
      </c>
      <c r="F897" s="18">
        <v>45964</v>
      </c>
      <c r="G897">
        <v>160</v>
      </c>
      <c r="H897">
        <v>3.8</v>
      </c>
      <c r="I897">
        <f>IF(MONTH(calls[[#This Row],[Date of Call]])&lt;=6, YEAR(calls[[#This Row],[Date of Call]]), YEAR(calls[[#This Row],[Date of Call]])+1)</f>
        <v>2026</v>
      </c>
      <c r="J897" t="str">
        <f>TEXT(calls[[#This Row],[Date of Call]],"DDDD")</f>
        <v>Monday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969</v>
      </c>
      <c r="C898" t="s">
        <v>48</v>
      </c>
      <c r="D898">
        <v>114</v>
      </c>
      <c r="E898" s="17" t="s">
        <v>38</v>
      </c>
      <c r="F898" s="18">
        <v>45965</v>
      </c>
      <c r="G898">
        <v>144</v>
      </c>
      <c r="H898">
        <v>3.8</v>
      </c>
      <c r="I898">
        <f>IF(MONTH(calls[[#This Row],[Date of Call]])&lt;=6, YEAR(calls[[#This Row],[Date of Call]]), YEAR(calls[[#This Row],[Date of Call]])+1)</f>
        <v>2026</v>
      </c>
      <c r="J898" t="str">
        <f>TEXT(calls[[#This Row],[Date of Call]],"DDDD")</f>
        <v>Tuesday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970</v>
      </c>
      <c r="C899" t="s">
        <v>55</v>
      </c>
      <c r="D899">
        <v>112</v>
      </c>
      <c r="E899" s="17" t="s">
        <v>34</v>
      </c>
      <c r="F899" s="18">
        <v>45965</v>
      </c>
      <c r="G899">
        <v>200</v>
      </c>
      <c r="H899">
        <v>4.5999999999999996</v>
      </c>
      <c r="I899">
        <f>IF(MONTH(calls[[#This Row],[Date of Call]])&lt;=6, YEAR(calls[[#This Row],[Date of Call]]), YEAR(calls[[#This Row],[Date of Call]])+1)</f>
        <v>2026</v>
      </c>
      <c r="J899" t="str">
        <f>TEXT(calls[[#This Row],[Date of Call]],"DDDD")</f>
        <v>Tuesday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971</v>
      </c>
      <c r="C900" t="s">
        <v>50</v>
      </c>
      <c r="D900">
        <v>52</v>
      </c>
      <c r="E900" s="17" t="s">
        <v>35</v>
      </c>
      <c r="F900" s="18">
        <v>45967</v>
      </c>
      <c r="G900">
        <v>220</v>
      </c>
      <c r="H900">
        <v>5</v>
      </c>
      <c r="I900">
        <f>IF(MONTH(calls[[#This Row],[Date of Call]])&lt;=6, YEAR(calls[[#This Row],[Date of Call]]), YEAR(calls[[#This Row],[Date of Call]])+1)</f>
        <v>2026</v>
      </c>
      <c r="J900" t="str">
        <f>TEXT(calls[[#This Row],[Date of Call]],"DDDD")</f>
        <v>Thursday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972</v>
      </c>
      <c r="C901" t="s">
        <v>59</v>
      </c>
      <c r="D901">
        <v>105</v>
      </c>
      <c r="E901" s="17" t="s">
        <v>37</v>
      </c>
      <c r="F901" s="18">
        <v>45968</v>
      </c>
      <c r="G901">
        <v>112</v>
      </c>
      <c r="H901">
        <v>3.2</v>
      </c>
      <c r="I901">
        <f>IF(MONTH(calls[[#This Row],[Date of Call]])&lt;=6, YEAR(calls[[#This Row],[Date of Call]]), YEAR(calls[[#This Row],[Date of Call]])+1)</f>
        <v>2026</v>
      </c>
      <c r="J901" t="str">
        <f>TEXT(calls[[#This Row],[Date of Call]],"DDDD")</f>
        <v>Friday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973</v>
      </c>
      <c r="C902" t="s">
        <v>56</v>
      </c>
      <c r="D902">
        <v>91</v>
      </c>
      <c r="E902" s="17" t="s">
        <v>36</v>
      </c>
      <c r="F902" s="18">
        <v>45968</v>
      </c>
      <c r="G902">
        <v>110</v>
      </c>
      <c r="H902">
        <v>3.7</v>
      </c>
      <c r="I902">
        <f>IF(MONTH(calls[[#This Row],[Date of Call]])&lt;=6, YEAR(calls[[#This Row],[Date of Call]]), YEAR(calls[[#This Row],[Date of Call]])+1)</f>
        <v>2026</v>
      </c>
      <c r="J902" t="str">
        <f>TEXT(calls[[#This Row],[Date of Call]],"DDDD")</f>
        <v>Friday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974</v>
      </c>
      <c r="C903" t="s">
        <v>54</v>
      </c>
      <c r="D903">
        <v>74</v>
      </c>
      <c r="E903" s="17" t="s">
        <v>38</v>
      </c>
      <c r="F903" s="18">
        <v>45969</v>
      </c>
      <c r="G903">
        <v>160</v>
      </c>
      <c r="H903">
        <v>2.7</v>
      </c>
      <c r="I903">
        <f>IF(MONTH(calls[[#This Row],[Date of Call]])&lt;=6, YEAR(calls[[#This Row],[Date of Call]]), YEAR(calls[[#This Row],[Date of Call]])+1)</f>
        <v>2026</v>
      </c>
      <c r="J903" t="str">
        <f>TEXT(calls[[#This Row],[Date of Call]],"DDDD")</f>
        <v>Saturday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975</v>
      </c>
      <c r="C904" t="s">
        <v>54</v>
      </c>
      <c r="D904">
        <v>30</v>
      </c>
      <c r="E904" s="17" t="s">
        <v>36</v>
      </c>
      <c r="F904" s="18">
        <v>45969</v>
      </c>
      <c r="G904">
        <v>84</v>
      </c>
      <c r="H904">
        <v>4</v>
      </c>
      <c r="I904">
        <f>IF(MONTH(calls[[#This Row],[Date of Call]])&lt;=6, YEAR(calls[[#This Row],[Date of Call]]), YEAR(calls[[#This Row],[Date of Call]])+1)</f>
        <v>2026</v>
      </c>
      <c r="J904" t="str">
        <f>TEXT(calls[[#This Row],[Date of Call]],"DDDD")</f>
        <v>Saturday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976</v>
      </c>
      <c r="C905" t="s">
        <v>56</v>
      </c>
      <c r="D905">
        <v>56</v>
      </c>
      <c r="E905" s="17" t="s">
        <v>35</v>
      </c>
      <c r="F905" s="18">
        <v>45969</v>
      </c>
      <c r="G905">
        <v>124</v>
      </c>
      <c r="H905">
        <v>2.6</v>
      </c>
      <c r="I905">
        <f>IF(MONTH(calls[[#This Row],[Date of Call]])&lt;=6, YEAR(calls[[#This Row],[Date of Call]]), YEAR(calls[[#This Row],[Date of Call]])+1)</f>
        <v>2026</v>
      </c>
      <c r="J905" t="str">
        <f>TEXT(calls[[#This Row],[Date of Call]],"DDDD")</f>
        <v>Saturday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977</v>
      </c>
      <c r="C906" t="s">
        <v>54</v>
      </c>
      <c r="D906">
        <v>151</v>
      </c>
      <c r="E906" s="17" t="s">
        <v>34</v>
      </c>
      <c r="F906" s="18">
        <v>45969</v>
      </c>
      <c r="G906">
        <v>84</v>
      </c>
      <c r="H906">
        <v>4.5999999999999996</v>
      </c>
      <c r="I906">
        <f>IF(MONTH(calls[[#This Row],[Date of Call]])&lt;=6, YEAR(calls[[#This Row],[Date of Call]]), YEAR(calls[[#This Row],[Date of Call]])+1)</f>
        <v>2026</v>
      </c>
      <c r="J906" t="str">
        <f>TEXT(calls[[#This Row],[Date of Call]],"DDDD")</f>
        <v>Saturday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978</v>
      </c>
      <c r="C907" t="s">
        <v>46</v>
      </c>
      <c r="D907">
        <v>108</v>
      </c>
      <c r="E907" s="17" t="s">
        <v>37</v>
      </c>
      <c r="F907" s="18">
        <v>45970</v>
      </c>
      <c r="G907">
        <v>130</v>
      </c>
      <c r="H907">
        <v>2.7</v>
      </c>
      <c r="I907">
        <f>IF(MONTH(calls[[#This Row],[Date of Call]])&lt;=6, YEAR(calls[[#This Row],[Date of Call]]), YEAR(calls[[#This Row],[Date of Call]])+1)</f>
        <v>2026</v>
      </c>
      <c r="J907" t="str">
        <f>TEXT(calls[[#This Row],[Date of Call]],"DDDD")</f>
        <v>Sunday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979</v>
      </c>
      <c r="C908" t="s">
        <v>48</v>
      </c>
      <c r="D908">
        <v>124</v>
      </c>
      <c r="E908" s="17" t="s">
        <v>38</v>
      </c>
      <c r="F908" s="18">
        <v>45970</v>
      </c>
      <c r="G908">
        <v>215</v>
      </c>
      <c r="H908">
        <v>3.5</v>
      </c>
      <c r="I908">
        <f>IF(MONTH(calls[[#This Row],[Date of Call]])&lt;=6, YEAR(calls[[#This Row],[Date of Call]]), YEAR(calls[[#This Row],[Date of Call]])+1)</f>
        <v>2026</v>
      </c>
      <c r="J908" t="str">
        <f>TEXT(calls[[#This Row],[Date of Call]],"DDDD")</f>
        <v>Sunday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980</v>
      </c>
      <c r="C909" t="s">
        <v>59</v>
      </c>
      <c r="D909">
        <v>110</v>
      </c>
      <c r="E909" s="17" t="s">
        <v>35</v>
      </c>
      <c r="F909" s="18">
        <v>45971</v>
      </c>
      <c r="G909">
        <v>132</v>
      </c>
      <c r="H909">
        <v>3.6</v>
      </c>
      <c r="I909">
        <f>IF(MONTH(calls[[#This Row],[Date of Call]])&lt;=6, YEAR(calls[[#This Row],[Date of Call]]), YEAR(calls[[#This Row],[Date of Call]])+1)</f>
        <v>2026</v>
      </c>
      <c r="J909" t="str">
        <f>TEXT(calls[[#This Row],[Date of Call]],"DDDD")</f>
        <v>Monday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981</v>
      </c>
      <c r="C910" t="s">
        <v>52</v>
      </c>
      <c r="D910">
        <v>89</v>
      </c>
      <c r="E910" s="17" t="s">
        <v>37</v>
      </c>
      <c r="F910" s="18">
        <v>45971</v>
      </c>
      <c r="G910">
        <v>88</v>
      </c>
      <c r="H910">
        <v>4.9000000000000004</v>
      </c>
      <c r="I910">
        <f>IF(MONTH(calls[[#This Row],[Date of Call]])&lt;=6, YEAR(calls[[#This Row],[Date of Call]]), YEAR(calls[[#This Row],[Date of Call]])+1)</f>
        <v>2026</v>
      </c>
      <c r="J910" t="str">
        <f>TEXT(calls[[#This Row],[Date of Call]],"DDDD")</f>
        <v>Monday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982</v>
      </c>
      <c r="C911" t="s">
        <v>45</v>
      </c>
      <c r="D911">
        <v>95</v>
      </c>
      <c r="E911" s="17" t="s">
        <v>35</v>
      </c>
      <c r="F911" s="18">
        <v>45971</v>
      </c>
      <c r="G911">
        <v>140</v>
      </c>
      <c r="H911">
        <v>3.9</v>
      </c>
      <c r="I911">
        <f>IF(MONTH(calls[[#This Row],[Date of Call]])&lt;=6, YEAR(calls[[#This Row],[Date of Call]]), YEAR(calls[[#This Row],[Date of Call]])+1)</f>
        <v>2026</v>
      </c>
      <c r="J911" t="str">
        <f>TEXT(calls[[#This Row],[Date of Call]],"DDDD")</f>
        <v>Monday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983</v>
      </c>
      <c r="C912" t="s">
        <v>54</v>
      </c>
      <c r="D912">
        <v>84</v>
      </c>
      <c r="E912" s="17" t="s">
        <v>37</v>
      </c>
      <c r="F912" s="18">
        <v>45972</v>
      </c>
      <c r="G912">
        <v>66</v>
      </c>
      <c r="H912">
        <v>4.7</v>
      </c>
      <c r="I912">
        <f>IF(MONTH(calls[[#This Row],[Date of Call]])&lt;=6, YEAR(calls[[#This Row],[Date of Call]]), YEAR(calls[[#This Row],[Date of Call]])+1)</f>
        <v>2026</v>
      </c>
      <c r="J912" t="str">
        <f>TEXT(calls[[#This Row],[Date of Call]],"DDDD")</f>
        <v>Tuesday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984</v>
      </c>
      <c r="C913" t="s">
        <v>49</v>
      </c>
      <c r="D913">
        <v>89</v>
      </c>
      <c r="E913" s="17" t="s">
        <v>38</v>
      </c>
      <c r="F913" s="18">
        <v>45972</v>
      </c>
      <c r="G913">
        <v>23</v>
      </c>
      <c r="H913">
        <v>4.5</v>
      </c>
      <c r="I913">
        <f>IF(MONTH(calls[[#This Row],[Date of Call]])&lt;=6, YEAR(calls[[#This Row],[Date of Call]]), YEAR(calls[[#This Row],[Date of Call]])+1)</f>
        <v>2026</v>
      </c>
      <c r="J913" t="str">
        <f>TEXT(calls[[#This Row],[Date of Call]],"DDDD")</f>
        <v>Tuesday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985</v>
      </c>
      <c r="C914" t="s">
        <v>52</v>
      </c>
      <c r="D914">
        <v>146</v>
      </c>
      <c r="E914" s="17" t="s">
        <v>38</v>
      </c>
      <c r="F914" s="18">
        <v>45973</v>
      </c>
      <c r="G914">
        <v>220</v>
      </c>
      <c r="H914">
        <v>4.5</v>
      </c>
      <c r="I914">
        <f>IF(MONTH(calls[[#This Row],[Date of Call]])&lt;=6, YEAR(calls[[#This Row],[Date of Call]]), YEAR(calls[[#This Row],[Date of Call]])+1)</f>
        <v>2026</v>
      </c>
      <c r="J914" t="str">
        <f>TEXT(calls[[#This Row],[Date of Call]],"DDDD")</f>
        <v>Wednesday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986</v>
      </c>
      <c r="C915" t="s">
        <v>53</v>
      </c>
      <c r="D915">
        <v>62</v>
      </c>
      <c r="E915" s="17" t="s">
        <v>36</v>
      </c>
      <c r="F915" s="18">
        <v>45974</v>
      </c>
      <c r="G915">
        <v>175</v>
      </c>
      <c r="H915">
        <v>4.4000000000000004</v>
      </c>
      <c r="I915">
        <f>IF(MONTH(calls[[#This Row],[Date of Call]])&lt;=6, YEAR(calls[[#This Row],[Date of Call]]), YEAR(calls[[#This Row],[Date of Call]])+1)</f>
        <v>2026</v>
      </c>
      <c r="J915" t="str">
        <f>TEXT(calls[[#This Row],[Date of Call]],"DDDD")</f>
        <v>Thursday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987</v>
      </c>
      <c r="C916" t="s">
        <v>55</v>
      </c>
      <c r="D916">
        <v>82</v>
      </c>
      <c r="E916" s="17" t="s">
        <v>38</v>
      </c>
      <c r="F916" s="18">
        <v>45974</v>
      </c>
      <c r="G916">
        <v>172</v>
      </c>
      <c r="H916">
        <v>4.0999999999999996</v>
      </c>
      <c r="I916">
        <f>IF(MONTH(calls[[#This Row],[Date of Call]])&lt;=6, YEAR(calls[[#This Row],[Date of Call]]), YEAR(calls[[#This Row],[Date of Call]])+1)</f>
        <v>2026</v>
      </c>
      <c r="J916" t="str">
        <f>TEXT(calls[[#This Row],[Date of Call]],"DDDD")</f>
        <v>Thursday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988</v>
      </c>
      <c r="C917" t="s">
        <v>58</v>
      </c>
      <c r="D917">
        <v>91</v>
      </c>
      <c r="E917" s="17" t="s">
        <v>34</v>
      </c>
      <c r="F917" s="18">
        <v>45974</v>
      </c>
      <c r="G917">
        <v>108</v>
      </c>
      <c r="H917">
        <v>3.8</v>
      </c>
      <c r="I917">
        <f>IF(MONTH(calls[[#This Row],[Date of Call]])&lt;=6, YEAR(calls[[#This Row],[Date of Call]]), YEAR(calls[[#This Row],[Date of Call]])+1)</f>
        <v>2026</v>
      </c>
      <c r="J917" t="str">
        <f>TEXT(calls[[#This Row],[Date of Call]],"DDDD")</f>
        <v>Thursday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989</v>
      </c>
      <c r="C918" t="s">
        <v>49</v>
      </c>
      <c r="D918">
        <v>39</v>
      </c>
      <c r="E918" s="17" t="s">
        <v>38</v>
      </c>
      <c r="F918" s="18">
        <v>45975</v>
      </c>
      <c r="G918">
        <v>43</v>
      </c>
      <c r="H918">
        <v>4.2</v>
      </c>
      <c r="I918">
        <f>IF(MONTH(calls[[#This Row],[Date of Call]])&lt;=6, YEAR(calls[[#This Row],[Date of Call]]), YEAR(calls[[#This Row],[Date of Call]])+1)</f>
        <v>2026</v>
      </c>
      <c r="J918" t="str">
        <f>TEXT(calls[[#This Row],[Date of Call]],"DDDD")</f>
        <v>Friday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990</v>
      </c>
      <c r="C919" t="s">
        <v>52</v>
      </c>
      <c r="D919">
        <v>149</v>
      </c>
      <c r="E919" s="17" t="s">
        <v>35</v>
      </c>
      <c r="F919" s="18">
        <v>45975</v>
      </c>
      <c r="G919">
        <v>44</v>
      </c>
      <c r="H919">
        <v>2.2000000000000002</v>
      </c>
      <c r="I919">
        <f>IF(MONTH(calls[[#This Row],[Date of Call]])&lt;=6, YEAR(calls[[#This Row],[Date of Call]]), YEAR(calls[[#This Row],[Date of Call]])+1)</f>
        <v>2026</v>
      </c>
      <c r="J919" t="str">
        <f>TEXT(calls[[#This Row],[Date of Call]],"DDDD")</f>
        <v>Friday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991</v>
      </c>
      <c r="C920" t="s">
        <v>55</v>
      </c>
      <c r="D920">
        <v>138</v>
      </c>
      <c r="E920" s="17" t="s">
        <v>36</v>
      </c>
      <c r="F920" s="18">
        <v>45975</v>
      </c>
      <c r="G920">
        <v>105</v>
      </c>
      <c r="H920">
        <v>3.9</v>
      </c>
      <c r="I920">
        <f>IF(MONTH(calls[[#This Row],[Date of Call]])&lt;=6, YEAR(calls[[#This Row],[Date of Call]]), YEAR(calls[[#This Row],[Date of Call]])+1)</f>
        <v>2026</v>
      </c>
      <c r="J920" t="str">
        <f>TEXT(calls[[#This Row],[Date of Call]],"DDDD")</f>
        <v>Friday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992</v>
      </c>
      <c r="C921" t="s">
        <v>53</v>
      </c>
      <c r="D921">
        <v>113</v>
      </c>
      <c r="E921" s="17" t="s">
        <v>35</v>
      </c>
      <c r="F921" s="18">
        <v>45976</v>
      </c>
      <c r="G921">
        <v>34</v>
      </c>
      <c r="H921">
        <v>3.9</v>
      </c>
      <c r="I921">
        <f>IF(MONTH(calls[[#This Row],[Date of Call]])&lt;=6, YEAR(calls[[#This Row],[Date of Call]]), YEAR(calls[[#This Row],[Date of Call]])+1)</f>
        <v>2026</v>
      </c>
      <c r="J921" t="str">
        <f>TEXT(calls[[#This Row],[Date of Call]],"DDDD")</f>
        <v>Saturday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993</v>
      </c>
      <c r="C922" t="s">
        <v>47</v>
      </c>
      <c r="D922">
        <v>88</v>
      </c>
      <c r="E922" s="17" t="s">
        <v>38</v>
      </c>
      <c r="F922" s="18">
        <v>45976</v>
      </c>
      <c r="G922">
        <v>220</v>
      </c>
      <c r="H922">
        <v>4.0999999999999996</v>
      </c>
      <c r="I922">
        <f>IF(MONTH(calls[[#This Row],[Date of Call]])&lt;=6, YEAR(calls[[#This Row],[Date of Call]]), YEAR(calls[[#This Row],[Date of Call]])+1)</f>
        <v>2026</v>
      </c>
      <c r="J922" t="str">
        <f>TEXT(calls[[#This Row],[Date of Call]],"DDDD")</f>
        <v>Saturday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994</v>
      </c>
      <c r="C923" t="s">
        <v>45</v>
      </c>
      <c r="D923">
        <v>64</v>
      </c>
      <c r="E923" s="17" t="s">
        <v>36</v>
      </c>
      <c r="F923" s="18">
        <v>45976</v>
      </c>
      <c r="G923">
        <v>225</v>
      </c>
      <c r="H923">
        <v>4.5999999999999996</v>
      </c>
      <c r="I923">
        <f>IF(MONTH(calls[[#This Row],[Date of Call]])&lt;=6, YEAR(calls[[#This Row],[Date of Call]]), YEAR(calls[[#This Row],[Date of Call]])+1)</f>
        <v>2026</v>
      </c>
      <c r="J923" t="str">
        <f>TEXT(calls[[#This Row],[Date of Call]],"DDDD")</f>
        <v>Saturday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995</v>
      </c>
      <c r="C924" t="s">
        <v>56</v>
      </c>
      <c r="D924">
        <v>53</v>
      </c>
      <c r="E924" s="17" t="s">
        <v>36</v>
      </c>
      <c r="F924" s="18">
        <v>45977</v>
      </c>
      <c r="G924">
        <v>37</v>
      </c>
      <c r="H924">
        <v>4.0999999999999996</v>
      </c>
      <c r="I924">
        <f>IF(MONTH(calls[[#This Row],[Date of Call]])&lt;=6, YEAR(calls[[#This Row],[Date of Call]]), YEAR(calls[[#This Row],[Date of Call]])+1)</f>
        <v>2026</v>
      </c>
      <c r="J924" t="str">
        <f>TEXT(calls[[#This Row],[Date of Call]],"DDDD")</f>
        <v>Sunday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996</v>
      </c>
      <c r="C925" t="s">
        <v>48</v>
      </c>
      <c r="D925">
        <v>63</v>
      </c>
      <c r="E925" s="17" t="s">
        <v>35</v>
      </c>
      <c r="F925" s="18">
        <v>45977</v>
      </c>
      <c r="G925">
        <v>44</v>
      </c>
      <c r="H925">
        <v>5</v>
      </c>
      <c r="I925">
        <f>IF(MONTH(calls[[#This Row],[Date of Call]])&lt;=6, YEAR(calls[[#This Row],[Date of Call]]), YEAR(calls[[#This Row],[Date of Call]])+1)</f>
        <v>2026</v>
      </c>
      <c r="J925" t="str">
        <f>TEXT(calls[[#This Row],[Date of Call]],"DDDD")</f>
        <v>Sunday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997</v>
      </c>
      <c r="C926" t="s">
        <v>50</v>
      </c>
      <c r="D926">
        <v>54</v>
      </c>
      <c r="E926" s="17" t="s">
        <v>35</v>
      </c>
      <c r="F926" s="18">
        <v>45978</v>
      </c>
      <c r="G926">
        <v>35</v>
      </c>
      <c r="H926">
        <v>2.8</v>
      </c>
      <c r="I926">
        <f>IF(MONTH(calls[[#This Row],[Date of Call]])&lt;=6, YEAR(calls[[#This Row],[Date of Call]]), YEAR(calls[[#This Row],[Date of Call]])+1)</f>
        <v>2026</v>
      </c>
      <c r="J926" t="str">
        <f>TEXT(calls[[#This Row],[Date of Call]],"DDDD")</f>
        <v>Monday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998</v>
      </c>
      <c r="C927" t="s">
        <v>48</v>
      </c>
      <c r="D927">
        <v>54</v>
      </c>
      <c r="E927" s="17" t="s">
        <v>38</v>
      </c>
      <c r="F927" s="18">
        <v>45978</v>
      </c>
      <c r="G927">
        <v>145</v>
      </c>
      <c r="H927">
        <v>2.7</v>
      </c>
      <c r="I927">
        <f>IF(MONTH(calls[[#This Row],[Date of Call]])&lt;=6, YEAR(calls[[#This Row],[Date of Call]]), YEAR(calls[[#This Row],[Date of Call]])+1)</f>
        <v>2026</v>
      </c>
      <c r="J927" t="str">
        <f>TEXT(calls[[#This Row],[Date of Call]],"DDDD")</f>
        <v>Monday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999</v>
      </c>
      <c r="C928" t="s">
        <v>52</v>
      </c>
      <c r="D928">
        <v>71</v>
      </c>
      <c r="E928" s="17" t="s">
        <v>36</v>
      </c>
      <c r="F928" s="18">
        <v>45978</v>
      </c>
      <c r="G928">
        <v>64</v>
      </c>
      <c r="H928">
        <v>3.9</v>
      </c>
      <c r="I928">
        <f>IF(MONTH(calls[[#This Row],[Date of Call]])&lt;=6, YEAR(calls[[#This Row],[Date of Call]]), YEAR(calls[[#This Row],[Date of Call]])+1)</f>
        <v>2026</v>
      </c>
      <c r="J928" t="str">
        <f>TEXT(calls[[#This Row],[Date of Call]],"DDDD")</f>
        <v>Monday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1000</v>
      </c>
      <c r="C929" t="s">
        <v>48</v>
      </c>
      <c r="D929">
        <v>93</v>
      </c>
      <c r="E929" s="17" t="s">
        <v>38</v>
      </c>
      <c r="F929" s="18">
        <v>45979</v>
      </c>
      <c r="G929">
        <v>185</v>
      </c>
      <c r="H929">
        <v>4.3</v>
      </c>
      <c r="I929">
        <f>IF(MONTH(calls[[#This Row],[Date of Call]])&lt;=6, YEAR(calls[[#This Row],[Date of Call]]), YEAR(calls[[#This Row],[Date of Call]])+1)</f>
        <v>2026</v>
      </c>
      <c r="J929" t="str">
        <f>TEXT(calls[[#This Row],[Date of Call]],"DDDD")</f>
        <v>Tuesday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1001</v>
      </c>
      <c r="C930" t="s">
        <v>59</v>
      </c>
      <c r="D930">
        <v>96</v>
      </c>
      <c r="E930" s="17" t="s">
        <v>35</v>
      </c>
      <c r="F930" s="18">
        <v>45979</v>
      </c>
      <c r="G930">
        <v>215</v>
      </c>
      <c r="H930">
        <v>2.5</v>
      </c>
      <c r="I930">
        <f>IF(MONTH(calls[[#This Row],[Date of Call]])&lt;=6, YEAR(calls[[#This Row],[Date of Call]]), YEAR(calls[[#This Row],[Date of Call]])+1)</f>
        <v>2026</v>
      </c>
      <c r="J930" t="str">
        <f>TEXT(calls[[#This Row],[Date of Call]],"DDDD")</f>
        <v>Tuesday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1002</v>
      </c>
      <c r="C931" t="s">
        <v>49</v>
      </c>
      <c r="D931">
        <v>31</v>
      </c>
      <c r="E931" s="17" t="s">
        <v>34</v>
      </c>
      <c r="F931" s="18">
        <v>45979</v>
      </c>
      <c r="G931">
        <v>88</v>
      </c>
      <c r="H931">
        <v>3.4</v>
      </c>
      <c r="I931">
        <f>IF(MONTH(calls[[#This Row],[Date of Call]])&lt;=6, YEAR(calls[[#This Row],[Date of Call]]), YEAR(calls[[#This Row],[Date of Call]])+1)</f>
        <v>2026</v>
      </c>
      <c r="J931" t="str">
        <f>TEXT(calls[[#This Row],[Date of Call]],"DDDD")</f>
        <v>Tuesday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1003</v>
      </c>
      <c r="C932" t="s">
        <v>48</v>
      </c>
      <c r="D932">
        <v>107</v>
      </c>
      <c r="E932" s="17" t="s">
        <v>36</v>
      </c>
      <c r="F932" s="18">
        <v>45979</v>
      </c>
      <c r="G932">
        <v>23</v>
      </c>
      <c r="H932">
        <v>3.4</v>
      </c>
      <c r="I932">
        <f>IF(MONTH(calls[[#This Row],[Date of Call]])&lt;=6, YEAR(calls[[#This Row],[Date of Call]]), YEAR(calls[[#This Row],[Date of Call]])+1)</f>
        <v>2026</v>
      </c>
      <c r="J932" t="str">
        <f>TEXT(calls[[#This Row],[Date of Call]],"DDDD")</f>
        <v>Tuesday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1004</v>
      </c>
      <c r="C933" t="s">
        <v>56</v>
      </c>
      <c r="D933">
        <v>50</v>
      </c>
      <c r="E933" s="17" t="s">
        <v>34</v>
      </c>
      <c r="F933" s="18">
        <v>45980</v>
      </c>
      <c r="G933">
        <v>180</v>
      </c>
      <c r="H933">
        <v>1.8</v>
      </c>
      <c r="I933">
        <f>IF(MONTH(calls[[#This Row],[Date of Call]])&lt;=6, YEAR(calls[[#This Row],[Date of Call]]), YEAR(calls[[#This Row],[Date of Call]])+1)</f>
        <v>2026</v>
      </c>
      <c r="J933" t="str">
        <f>TEXT(calls[[#This Row],[Date of Call]],"DDDD")</f>
        <v>Wednesday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1005</v>
      </c>
      <c r="C934" t="s">
        <v>55</v>
      </c>
      <c r="D934">
        <v>69</v>
      </c>
      <c r="E934" s="17" t="s">
        <v>36</v>
      </c>
      <c r="F934" s="18">
        <v>45981</v>
      </c>
      <c r="G934">
        <v>225</v>
      </c>
      <c r="H934">
        <v>3.7</v>
      </c>
      <c r="I934">
        <f>IF(MONTH(calls[[#This Row],[Date of Call]])&lt;=6, YEAR(calls[[#This Row],[Date of Call]]), YEAR(calls[[#This Row],[Date of Call]])+1)</f>
        <v>2026</v>
      </c>
      <c r="J934" t="str">
        <f>TEXT(calls[[#This Row],[Date of Call]],"DDDD")</f>
        <v>Thursday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1006</v>
      </c>
      <c r="C935" t="s">
        <v>47</v>
      </c>
      <c r="D935">
        <v>26</v>
      </c>
      <c r="E935" s="17" t="s">
        <v>35</v>
      </c>
      <c r="F935" s="18">
        <v>45982</v>
      </c>
      <c r="G935">
        <v>74</v>
      </c>
      <c r="H935">
        <v>4.0999999999999996</v>
      </c>
      <c r="I935">
        <f>IF(MONTH(calls[[#This Row],[Date of Call]])&lt;=6, YEAR(calls[[#This Row],[Date of Call]]), YEAR(calls[[#This Row],[Date of Call]])+1)</f>
        <v>2026</v>
      </c>
      <c r="J935" t="str">
        <f>TEXT(calls[[#This Row],[Date of Call]],"DDDD")</f>
        <v>Friday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1007</v>
      </c>
      <c r="C936" t="s">
        <v>59</v>
      </c>
      <c r="D936">
        <v>158</v>
      </c>
      <c r="E936" s="17" t="s">
        <v>36</v>
      </c>
      <c r="F936" s="18">
        <v>45982</v>
      </c>
      <c r="G936">
        <v>36</v>
      </c>
      <c r="H936">
        <v>3</v>
      </c>
      <c r="I936">
        <f>IF(MONTH(calls[[#This Row],[Date of Call]])&lt;=6, YEAR(calls[[#This Row],[Date of Call]]), YEAR(calls[[#This Row],[Date of Call]])+1)</f>
        <v>2026</v>
      </c>
      <c r="J936" t="str">
        <f>TEXT(calls[[#This Row],[Date of Call]],"DDDD")</f>
        <v>Friday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1008</v>
      </c>
      <c r="C937" t="s">
        <v>50</v>
      </c>
      <c r="D937">
        <v>99</v>
      </c>
      <c r="E937" s="17" t="s">
        <v>36</v>
      </c>
      <c r="F937" s="18">
        <v>45984</v>
      </c>
      <c r="G937">
        <v>116</v>
      </c>
      <c r="H937">
        <v>3.9</v>
      </c>
      <c r="I937">
        <f>IF(MONTH(calls[[#This Row],[Date of Call]])&lt;=6, YEAR(calls[[#This Row],[Date of Call]]), YEAR(calls[[#This Row],[Date of Call]])+1)</f>
        <v>2026</v>
      </c>
      <c r="J937" t="str">
        <f>TEXT(calls[[#This Row],[Date of Call]],"DDDD")</f>
        <v>Sunday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1009</v>
      </c>
      <c r="C938" t="s">
        <v>59</v>
      </c>
      <c r="D938">
        <v>78</v>
      </c>
      <c r="E938" s="17" t="s">
        <v>34</v>
      </c>
      <c r="F938" s="18">
        <v>45984</v>
      </c>
      <c r="G938">
        <v>140</v>
      </c>
      <c r="H938">
        <v>4</v>
      </c>
      <c r="I938">
        <f>IF(MONTH(calls[[#This Row],[Date of Call]])&lt;=6, YEAR(calls[[#This Row],[Date of Call]]), YEAR(calls[[#This Row],[Date of Call]])+1)</f>
        <v>2026</v>
      </c>
      <c r="J938" t="str">
        <f>TEXT(calls[[#This Row],[Date of Call]],"DDDD")</f>
        <v>Sunday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1010</v>
      </c>
      <c r="C939" t="s">
        <v>59</v>
      </c>
      <c r="D939">
        <v>102</v>
      </c>
      <c r="E939" s="17" t="s">
        <v>35</v>
      </c>
      <c r="F939" s="18">
        <v>45985</v>
      </c>
      <c r="G939">
        <v>104</v>
      </c>
      <c r="H939">
        <v>4.5</v>
      </c>
      <c r="I939">
        <f>IF(MONTH(calls[[#This Row],[Date of Call]])&lt;=6, YEAR(calls[[#This Row],[Date of Call]]), YEAR(calls[[#This Row],[Date of Call]])+1)</f>
        <v>2026</v>
      </c>
      <c r="J939" t="str">
        <f>TEXT(calls[[#This Row],[Date of Call]],"DDDD")</f>
        <v>Monday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1011</v>
      </c>
      <c r="C940" t="s">
        <v>50</v>
      </c>
      <c r="D940">
        <v>158</v>
      </c>
      <c r="E940" s="17" t="s">
        <v>37</v>
      </c>
      <c r="F940" s="18">
        <v>45985</v>
      </c>
      <c r="G940">
        <v>148</v>
      </c>
      <c r="H940">
        <v>4</v>
      </c>
      <c r="I940">
        <f>IF(MONTH(calls[[#This Row],[Date of Call]])&lt;=6, YEAR(calls[[#This Row],[Date of Call]]), YEAR(calls[[#This Row],[Date of Call]])+1)</f>
        <v>2026</v>
      </c>
      <c r="J940" t="str">
        <f>TEXT(calls[[#This Row],[Date of Call]],"DDDD")</f>
        <v>Monday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1012</v>
      </c>
      <c r="C941" t="s">
        <v>49</v>
      </c>
      <c r="D941">
        <v>56</v>
      </c>
      <c r="E941" s="17" t="s">
        <v>36</v>
      </c>
      <c r="F941" s="18">
        <v>45985</v>
      </c>
      <c r="G941">
        <v>205</v>
      </c>
      <c r="H941">
        <v>4.3</v>
      </c>
      <c r="I941">
        <f>IF(MONTH(calls[[#This Row],[Date of Call]])&lt;=6, YEAR(calls[[#This Row],[Date of Call]]), YEAR(calls[[#This Row],[Date of Call]])+1)</f>
        <v>2026</v>
      </c>
      <c r="J941" t="str">
        <f>TEXT(calls[[#This Row],[Date of Call]],"DDDD")</f>
        <v>Monday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1013</v>
      </c>
      <c r="C942" t="s">
        <v>46</v>
      </c>
      <c r="D942">
        <v>17</v>
      </c>
      <c r="E942" s="17" t="s">
        <v>38</v>
      </c>
      <c r="F942" s="18">
        <v>45985</v>
      </c>
      <c r="G942">
        <v>210</v>
      </c>
      <c r="H942">
        <v>4.8</v>
      </c>
      <c r="I942">
        <f>IF(MONTH(calls[[#This Row],[Date of Call]])&lt;=6, YEAR(calls[[#This Row],[Date of Call]]), YEAR(calls[[#This Row],[Date of Call]])+1)</f>
        <v>2026</v>
      </c>
      <c r="J942" t="str">
        <f>TEXT(calls[[#This Row],[Date of Call]],"DDDD")</f>
        <v>Monday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1014</v>
      </c>
      <c r="C943" t="s">
        <v>47</v>
      </c>
      <c r="D943">
        <v>104</v>
      </c>
      <c r="E943" s="17" t="s">
        <v>37</v>
      </c>
      <c r="F943" s="18">
        <v>45987</v>
      </c>
      <c r="G943">
        <v>41</v>
      </c>
      <c r="H943">
        <v>4.7</v>
      </c>
      <c r="I943">
        <f>IF(MONTH(calls[[#This Row],[Date of Call]])&lt;=6, YEAR(calls[[#This Row],[Date of Call]]), YEAR(calls[[#This Row],[Date of Call]])+1)</f>
        <v>2026</v>
      </c>
      <c r="J943" t="str">
        <f>TEXT(calls[[#This Row],[Date of Call]],"DDDD")</f>
        <v>Wednesday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1015</v>
      </c>
      <c r="C944" t="s">
        <v>54</v>
      </c>
      <c r="D944">
        <v>96</v>
      </c>
      <c r="E944" s="17" t="s">
        <v>34</v>
      </c>
      <c r="F944" s="18">
        <v>45987</v>
      </c>
      <c r="G944">
        <v>136</v>
      </c>
      <c r="H944">
        <v>5</v>
      </c>
      <c r="I944">
        <f>IF(MONTH(calls[[#This Row],[Date of Call]])&lt;=6, YEAR(calls[[#This Row],[Date of Call]]), YEAR(calls[[#This Row],[Date of Call]])+1)</f>
        <v>2026</v>
      </c>
      <c r="J944" t="str">
        <f>TEXT(calls[[#This Row],[Date of Call]],"DDDD")</f>
        <v>Wednesday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1016</v>
      </c>
      <c r="C945" t="s">
        <v>58</v>
      </c>
      <c r="D945">
        <v>83</v>
      </c>
      <c r="E945" s="17" t="s">
        <v>35</v>
      </c>
      <c r="F945" s="18">
        <v>45988</v>
      </c>
      <c r="G945">
        <v>126</v>
      </c>
      <c r="H945">
        <v>1.5</v>
      </c>
      <c r="I945">
        <f>IF(MONTH(calls[[#This Row],[Date of Call]])&lt;=6, YEAR(calls[[#This Row],[Date of Call]]), YEAR(calls[[#This Row],[Date of Call]])+1)</f>
        <v>2026</v>
      </c>
      <c r="J945" t="str">
        <f>TEXT(calls[[#This Row],[Date of Call]],"DDDD")</f>
        <v>Thursday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1017</v>
      </c>
      <c r="C946" t="s">
        <v>56</v>
      </c>
      <c r="D946">
        <v>80</v>
      </c>
      <c r="E946" s="17" t="s">
        <v>38</v>
      </c>
      <c r="F946" s="18">
        <v>45989</v>
      </c>
      <c r="G946">
        <v>148</v>
      </c>
      <c r="H946">
        <v>4.0999999999999996</v>
      </c>
      <c r="I946">
        <f>IF(MONTH(calls[[#This Row],[Date of Call]])&lt;=6, YEAR(calls[[#This Row],[Date of Call]]), YEAR(calls[[#This Row],[Date of Call]])+1)</f>
        <v>2026</v>
      </c>
      <c r="J946" t="str">
        <f>TEXT(calls[[#This Row],[Date of Call]],"DDDD")</f>
        <v>Friday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1018</v>
      </c>
      <c r="C947" t="s">
        <v>58</v>
      </c>
      <c r="D947">
        <v>152</v>
      </c>
      <c r="E947" s="17" t="s">
        <v>35</v>
      </c>
      <c r="F947" s="18">
        <v>45989</v>
      </c>
      <c r="G947">
        <v>125</v>
      </c>
      <c r="H947">
        <v>3.9</v>
      </c>
      <c r="I947">
        <f>IF(MONTH(calls[[#This Row],[Date of Call]])&lt;=6, YEAR(calls[[#This Row],[Date of Call]]), YEAR(calls[[#This Row],[Date of Call]])+1)</f>
        <v>2026</v>
      </c>
      <c r="J947" t="str">
        <f>TEXT(calls[[#This Row],[Date of Call]],"DDDD")</f>
        <v>Friday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1019</v>
      </c>
      <c r="C948" t="s">
        <v>52</v>
      </c>
      <c r="D948">
        <v>34</v>
      </c>
      <c r="E948" s="17" t="s">
        <v>34</v>
      </c>
      <c r="F948" s="18">
        <v>45989</v>
      </c>
      <c r="G948">
        <v>25</v>
      </c>
      <c r="H948">
        <v>4.0999999999999996</v>
      </c>
      <c r="I948">
        <f>IF(MONTH(calls[[#This Row],[Date of Call]])&lt;=6, YEAR(calls[[#This Row],[Date of Call]]), YEAR(calls[[#This Row],[Date of Call]])+1)</f>
        <v>2026</v>
      </c>
      <c r="J948" t="str">
        <f>TEXT(calls[[#This Row],[Date of Call]],"DDDD")</f>
        <v>Friday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1020</v>
      </c>
      <c r="C949" t="s">
        <v>53</v>
      </c>
      <c r="D949">
        <v>2</v>
      </c>
      <c r="E949" s="17" t="s">
        <v>36</v>
      </c>
      <c r="F949" s="18">
        <v>45990</v>
      </c>
      <c r="G949">
        <v>62</v>
      </c>
      <c r="H949">
        <v>2.8</v>
      </c>
      <c r="I949">
        <f>IF(MONTH(calls[[#This Row],[Date of Call]])&lt;=6, YEAR(calls[[#This Row],[Date of Call]]), YEAR(calls[[#This Row],[Date of Call]])+1)</f>
        <v>2026</v>
      </c>
      <c r="J949" t="str">
        <f>TEXT(calls[[#This Row],[Date of Call]],"DDDD")</f>
        <v>Saturday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1021</v>
      </c>
      <c r="C950" t="s">
        <v>56</v>
      </c>
      <c r="D950">
        <v>140</v>
      </c>
      <c r="E950" s="17" t="s">
        <v>34</v>
      </c>
      <c r="F950" s="18">
        <v>45991</v>
      </c>
      <c r="G950">
        <v>90</v>
      </c>
      <c r="H950">
        <v>4.5999999999999996</v>
      </c>
      <c r="I950">
        <f>IF(MONTH(calls[[#This Row],[Date of Call]])&lt;=6, YEAR(calls[[#This Row],[Date of Call]]), YEAR(calls[[#This Row],[Date of Call]])+1)</f>
        <v>2026</v>
      </c>
      <c r="J950" t="str">
        <f>TEXT(calls[[#This Row],[Date of Call]],"DDDD")</f>
        <v>Sunday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1022</v>
      </c>
      <c r="C951" t="s">
        <v>46</v>
      </c>
      <c r="D951">
        <v>126</v>
      </c>
      <c r="E951" s="17" t="s">
        <v>37</v>
      </c>
      <c r="F951" s="18">
        <v>45992</v>
      </c>
      <c r="G951">
        <v>33</v>
      </c>
      <c r="H951">
        <v>4.8</v>
      </c>
      <c r="I951">
        <f>IF(MONTH(calls[[#This Row],[Date of Call]])&lt;=6, YEAR(calls[[#This Row],[Date of Call]]), YEAR(calls[[#This Row],[Date of Call]])+1)</f>
        <v>2026</v>
      </c>
      <c r="J951" t="str">
        <f>TEXT(calls[[#This Row],[Date of Call]],"DDDD")</f>
        <v>Monday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1023</v>
      </c>
      <c r="C952" t="s">
        <v>59</v>
      </c>
      <c r="D952">
        <v>79</v>
      </c>
      <c r="E952" s="17" t="s">
        <v>36</v>
      </c>
      <c r="F952" s="18">
        <v>45992</v>
      </c>
      <c r="G952">
        <v>115</v>
      </c>
      <c r="H952">
        <v>2.2999999999999998</v>
      </c>
      <c r="I952">
        <f>IF(MONTH(calls[[#This Row],[Date of Call]])&lt;=6, YEAR(calls[[#This Row],[Date of Call]]), YEAR(calls[[#This Row],[Date of Call]])+1)</f>
        <v>2026</v>
      </c>
      <c r="J952" t="str">
        <f>TEXT(calls[[#This Row],[Date of Call]],"DDDD")</f>
        <v>Monday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1024</v>
      </c>
      <c r="C953" t="s">
        <v>46</v>
      </c>
      <c r="D953">
        <v>133</v>
      </c>
      <c r="E953" s="17" t="s">
        <v>37</v>
      </c>
      <c r="F953" s="18">
        <v>45992</v>
      </c>
      <c r="G953">
        <v>45</v>
      </c>
      <c r="H953">
        <v>2.6</v>
      </c>
      <c r="I953">
        <f>IF(MONTH(calls[[#This Row],[Date of Call]])&lt;=6, YEAR(calls[[#This Row],[Date of Call]]), YEAR(calls[[#This Row],[Date of Call]])+1)</f>
        <v>2026</v>
      </c>
      <c r="J953" t="str">
        <f>TEXT(calls[[#This Row],[Date of Call]],"DDDD")</f>
        <v>Monday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1025</v>
      </c>
      <c r="C954" t="s">
        <v>52</v>
      </c>
      <c r="D954">
        <v>97</v>
      </c>
      <c r="E954" s="17" t="s">
        <v>38</v>
      </c>
      <c r="F954" s="18">
        <v>45992</v>
      </c>
      <c r="G954">
        <v>114</v>
      </c>
      <c r="H954">
        <v>4.8</v>
      </c>
      <c r="I954">
        <f>IF(MONTH(calls[[#This Row],[Date of Call]])&lt;=6, YEAR(calls[[#This Row],[Date of Call]]), YEAR(calls[[#This Row],[Date of Call]])+1)</f>
        <v>2026</v>
      </c>
      <c r="J954" t="str">
        <f>TEXT(calls[[#This Row],[Date of Call]],"DDDD")</f>
        <v>Monday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1026</v>
      </c>
      <c r="C955" t="s">
        <v>59</v>
      </c>
      <c r="D955">
        <v>102</v>
      </c>
      <c r="E955" s="17" t="s">
        <v>35</v>
      </c>
      <c r="F955" s="18">
        <v>45993</v>
      </c>
      <c r="G955">
        <v>72</v>
      </c>
      <c r="H955">
        <v>3.7</v>
      </c>
      <c r="I955">
        <f>IF(MONTH(calls[[#This Row],[Date of Call]])&lt;=6, YEAR(calls[[#This Row],[Date of Call]]), YEAR(calls[[#This Row],[Date of Call]])+1)</f>
        <v>2026</v>
      </c>
      <c r="J955" t="str">
        <f>TEXT(calls[[#This Row],[Date of Call]],"DDDD")</f>
        <v>Tuesday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1027</v>
      </c>
      <c r="C956" t="s">
        <v>57</v>
      </c>
      <c r="D956">
        <v>62</v>
      </c>
      <c r="E956" s="17" t="s">
        <v>38</v>
      </c>
      <c r="F956" s="18">
        <v>45993</v>
      </c>
      <c r="G956">
        <v>205</v>
      </c>
      <c r="H956">
        <v>4.2</v>
      </c>
      <c r="I956">
        <f>IF(MONTH(calls[[#This Row],[Date of Call]])&lt;=6, YEAR(calls[[#This Row],[Date of Call]]), YEAR(calls[[#This Row],[Date of Call]])+1)</f>
        <v>2026</v>
      </c>
      <c r="J956" t="str">
        <f>TEXT(calls[[#This Row],[Date of Call]],"DDDD")</f>
        <v>Tuesday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1028</v>
      </c>
      <c r="C957" t="s">
        <v>46</v>
      </c>
      <c r="D957">
        <v>149</v>
      </c>
      <c r="E957" s="17" t="s">
        <v>35</v>
      </c>
      <c r="F957" s="18">
        <v>45994</v>
      </c>
      <c r="G957">
        <v>42</v>
      </c>
      <c r="H957">
        <v>3.3</v>
      </c>
      <c r="I957">
        <f>IF(MONTH(calls[[#This Row],[Date of Call]])&lt;=6, YEAR(calls[[#This Row],[Date of Call]]), YEAR(calls[[#This Row],[Date of Call]])+1)</f>
        <v>2026</v>
      </c>
      <c r="J957" t="str">
        <f>TEXT(calls[[#This Row],[Date of Call]],"DDDD")</f>
        <v>Wednesday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1029</v>
      </c>
      <c r="C958" t="s">
        <v>53</v>
      </c>
      <c r="D958">
        <v>133</v>
      </c>
      <c r="E958" s="17" t="s">
        <v>38</v>
      </c>
      <c r="F958" s="18">
        <v>45994</v>
      </c>
      <c r="G958">
        <v>96</v>
      </c>
      <c r="H958">
        <v>4.3</v>
      </c>
      <c r="I958">
        <f>IF(MONTH(calls[[#This Row],[Date of Call]])&lt;=6, YEAR(calls[[#This Row],[Date of Call]]), YEAR(calls[[#This Row],[Date of Call]])+1)</f>
        <v>2026</v>
      </c>
      <c r="J958" t="str">
        <f>TEXT(calls[[#This Row],[Date of Call]],"DDDD")</f>
        <v>Wednesday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1030</v>
      </c>
      <c r="C959" t="s">
        <v>59</v>
      </c>
      <c r="D959">
        <v>51</v>
      </c>
      <c r="E959" s="17" t="s">
        <v>36</v>
      </c>
      <c r="F959" s="18">
        <v>45994</v>
      </c>
      <c r="G959">
        <v>64</v>
      </c>
      <c r="H959">
        <v>3.7</v>
      </c>
      <c r="I959">
        <f>IF(MONTH(calls[[#This Row],[Date of Call]])&lt;=6, YEAR(calls[[#This Row],[Date of Call]]), YEAR(calls[[#This Row],[Date of Call]])+1)</f>
        <v>2026</v>
      </c>
      <c r="J959" t="str">
        <f>TEXT(calls[[#This Row],[Date of Call]],"DDDD")</f>
        <v>Wednesday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1031</v>
      </c>
      <c r="C960" t="s">
        <v>57</v>
      </c>
      <c r="D960">
        <v>110</v>
      </c>
      <c r="E960" s="17" t="s">
        <v>38</v>
      </c>
      <c r="F960" s="18">
        <v>45995</v>
      </c>
      <c r="G960">
        <v>72</v>
      </c>
      <c r="H960">
        <v>3.7</v>
      </c>
      <c r="I960">
        <f>IF(MONTH(calls[[#This Row],[Date of Call]])&lt;=6, YEAR(calls[[#This Row],[Date of Call]]), YEAR(calls[[#This Row],[Date of Call]])+1)</f>
        <v>2026</v>
      </c>
      <c r="J960" t="str">
        <f>TEXT(calls[[#This Row],[Date of Call]],"DDDD")</f>
        <v>Thursday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1032</v>
      </c>
      <c r="C961" t="s">
        <v>52</v>
      </c>
      <c r="D961">
        <v>38</v>
      </c>
      <c r="E961" s="17" t="s">
        <v>37</v>
      </c>
      <c r="F961" s="18">
        <v>45996</v>
      </c>
      <c r="G961">
        <v>27</v>
      </c>
      <c r="H961">
        <v>3.1</v>
      </c>
      <c r="I961">
        <f>IF(MONTH(calls[[#This Row],[Date of Call]])&lt;=6, YEAR(calls[[#This Row],[Date of Call]]), YEAR(calls[[#This Row],[Date of Call]])+1)</f>
        <v>2026</v>
      </c>
      <c r="J961" t="str">
        <f>TEXT(calls[[#This Row],[Date of Call]],"DDDD")</f>
        <v>Friday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1033</v>
      </c>
      <c r="C962" t="s">
        <v>53</v>
      </c>
      <c r="D962">
        <v>78</v>
      </c>
      <c r="E962" s="17" t="s">
        <v>37</v>
      </c>
      <c r="F962" s="18">
        <v>45998</v>
      </c>
      <c r="G962">
        <v>200</v>
      </c>
      <c r="H962">
        <v>2.4</v>
      </c>
      <c r="I962">
        <f>IF(MONTH(calls[[#This Row],[Date of Call]])&lt;=6, YEAR(calls[[#This Row],[Date of Call]]), YEAR(calls[[#This Row],[Date of Call]])+1)</f>
        <v>2026</v>
      </c>
      <c r="J962" t="str">
        <f>TEXT(calls[[#This Row],[Date of Call]],"DDDD")</f>
        <v>Sunday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1034</v>
      </c>
      <c r="C963" t="s">
        <v>52</v>
      </c>
      <c r="D963">
        <v>25</v>
      </c>
      <c r="E963" s="17" t="s">
        <v>35</v>
      </c>
      <c r="F963" s="18">
        <v>45999</v>
      </c>
      <c r="G963">
        <v>93</v>
      </c>
      <c r="H963">
        <v>3.5</v>
      </c>
      <c r="I963">
        <f>IF(MONTH(calls[[#This Row],[Date of Call]])&lt;=6, YEAR(calls[[#This Row],[Date of Call]]), YEAR(calls[[#This Row],[Date of Call]])+1)</f>
        <v>2026</v>
      </c>
      <c r="J963" t="str">
        <f>TEXT(calls[[#This Row],[Date of Call]],"DDDD")</f>
        <v>Monday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1035</v>
      </c>
      <c r="C964" t="s">
        <v>48</v>
      </c>
      <c r="D964">
        <v>50</v>
      </c>
      <c r="E964" s="17" t="s">
        <v>36</v>
      </c>
      <c r="F964" s="18">
        <v>45999</v>
      </c>
      <c r="G964">
        <v>54</v>
      </c>
      <c r="H964">
        <v>4.3</v>
      </c>
      <c r="I964">
        <f>IF(MONTH(calls[[#This Row],[Date of Call]])&lt;=6, YEAR(calls[[#This Row],[Date of Call]]), YEAR(calls[[#This Row],[Date of Call]])+1)</f>
        <v>2026</v>
      </c>
      <c r="J964" t="str">
        <f>TEXT(calls[[#This Row],[Date of Call]],"DDDD")</f>
        <v>Monday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1036</v>
      </c>
      <c r="C965" t="s">
        <v>52</v>
      </c>
      <c r="D965">
        <v>103</v>
      </c>
      <c r="E965" s="17" t="s">
        <v>35</v>
      </c>
      <c r="F965" s="18">
        <v>46000</v>
      </c>
      <c r="G965">
        <v>72</v>
      </c>
      <c r="H965">
        <v>3.4</v>
      </c>
      <c r="I965">
        <f>IF(MONTH(calls[[#This Row],[Date of Call]])&lt;=6, YEAR(calls[[#This Row],[Date of Call]]), YEAR(calls[[#This Row],[Date of Call]])+1)</f>
        <v>2026</v>
      </c>
      <c r="J965" t="str">
        <f>TEXT(calls[[#This Row],[Date of Call]],"DDDD")</f>
        <v>Tuesday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1037</v>
      </c>
      <c r="C966" t="s">
        <v>58</v>
      </c>
      <c r="D966">
        <v>63</v>
      </c>
      <c r="E966" s="17" t="s">
        <v>34</v>
      </c>
      <c r="F966" s="18">
        <v>46000</v>
      </c>
      <c r="G966">
        <v>82</v>
      </c>
      <c r="H966">
        <v>3.7</v>
      </c>
      <c r="I966">
        <f>IF(MONTH(calls[[#This Row],[Date of Call]])&lt;=6, YEAR(calls[[#This Row],[Date of Call]]), YEAR(calls[[#This Row],[Date of Call]])+1)</f>
        <v>2026</v>
      </c>
      <c r="J966" t="str">
        <f>TEXT(calls[[#This Row],[Date of Call]],"DDDD")</f>
        <v>Tuesday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1038</v>
      </c>
      <c r="C967" t="s">
        <v>48</v>
      </c>
      <c r="D967">
        <v>96</v>
      </c>
      <c r="E967" s="17" t="s">
        <v>36</v>
      </c>
      <c r="F967" s="18">
        <v>46004</v>
      </c>
      <c r="G967">
        <v>164</v>
      </c>
      <c r="H967">
        <v>4.8</v>
      </c>
      <c r="I967">
        <f>IF(MONTH(calls[[#This Row],[Date of Call]])&lt;=6, YEAR(calls[[#This Row],[Date of Call]]), YEAR(calls[[#This Row],[Date of Call]])+1)</f>
        <v>2026</v>
      </c>
      <c r="J967" t="str">
        <f>TEXT(calls[[#This Row],[Date of Call]],"DDDD")</f>
        <v>Saturday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1039</v>
      </c>
      <c r="C968" t="s">
        <v>56</v>
      </c>
      <c r="D968">
        <v>94</v>
      </c>
      <c r="E968" s="17" t="s">
        <v>35</v>
      </c>
      <c r="F968" s="18">
        <v>46004</v>
      </c>
      <c r="G968">
        <v>78</v>
      </c>
      <c r="H968">
        <v>3.3</v>
      </c>
      <c r="I968">
        <f>IF(MONTH(calls[[#This Row],[Date of Call]])&lt;=6, YEAR(calls[[#This Row],[Date of Call]]), YEAR(calls[[#This Row],[Date of Call]])+1)</f>
        <v>2026</v>
      </c>
      <c r="J968" t="str">
        <f>TEXT(calls[[#This Row],[Date of Call]],"DDDD")</f>
        <v>Saturday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1040</v>
      </c>
      <c r="C969" t="s">
        <v>57</v>
      </c>
      <c r="D969">
        <v>46</v>
      </c>
      <c r="E969" s="17" t="s">
        <v>37</v>
      </c>
      <c r="F969" s="18">
        <v>46005</v>
      </c>
      <c r="G969">
        <v>135</v>
      </c>
      <c r="H969">
        <v>4.2</v>
      </c>
      <c r="I969">
        <f>IF(MONTH(calls[[#This Row],[Date of Call]])&lt;=6, YEAR(calls[[#This Row],[Date of Call]]), YEAR(calls[[#This Row],[Date of Call]])+1)</f>
        <v>2026</v>
      </c>
      <c r="J969" t="str">
        <f>TEXT(calls[[#This Row],[Date of Call]],"DDDD")</f>
        <v>Sunday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1041</v>
      </c>
      <c r="C970" t="s">
        <v>51</v>
      </c>
      <c r="D970">
        <v>127</v>
      </c>
      <c r="E970" s="17" t="s">
        <v>36</v>
      </c>
      <c r="F970" s="18">
        <v>46006</v>
      </c>
      <c r="G970">
        <v>145</v>
      </c>
      <c r="H970">
        <v>2.6</v>
      </c>
      <c r="I970">
        <f>IF(MONTH(calls[[#This Row],[Date of Call]])&lt;=6, YEAR(calls[[#This Row],[Date of Call]]), YEAR(calls[[#This Row],[Date of Call]])+1)</f>
        <v>2026</v>
      </c>
      <c r="J970" t="str">
        <f>TEXT(calls[[#This Row],[Date of Call]],"DDDD")</f>
        <v>Monday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1042</v>
      </c>
      <c r="C971" t="s">
        <v>50</v>
      </c>
      <c r="D971">
        <v>96</v>
      </c>
      <c r="E971" s="17" t="s">
        <v>37</v>
      </c>
      <c r="F971" s="18">
        <v>46006</v>
      </c>
      <c r="G971">
        <v>115</v>
      </c>
      <c r="H971">
        <v>4.9000000000000004</v>
      </c>
      <c r="I971">
        <f>IF(MONTH(calls[[#This Row],[Date of Call]])&lt;=6, YEAR(calls[[#This Row],[Date of Call]]), YEAR(calls[[#This Row],[Date of Call]])+1)</f>
        <v>2026</v>
      </c>
      <c r="J971" t="str">
        <f>TEXT(calls[[#This Row],[Date of Call]],"DDDD")</f>
        <v>Monday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1043</v>
      </c>
      <c r="C972" t="s">
        <v>55</v>
      </c>
      <c r="D972">
        <v>151</v>
      </c>
      <c r="E972" s="17" t="s">
        <v>35</v>
      </c>
      <c r="F972" s="18">
        <v>46006</v>
      </c>
      <c r="G972">
        <v>117</v>
      </c>
      <c r="H972">
        <v>2</v>
      </c>
      <c r="I972">
        <f>IF(MONTH(calls[[#This Row],[Date of Call]])&lt;=6, YEAR(calls[[#This Row],[Date of Call]]), YEAR(calls[[#This Row],[Date of Call]])+1)</f>
        <v>2026</v>
      </c>
      <c r="J972" t="str">
        <f>TEXT(calls[[#This Row],[Date of Call]],"DDDD")</f>
        <v>Monday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1044</v>
      </c>
      <c r="C973" t="s">
        <v>51</v>
      </c>
      <c r="D973">
        <v>158</v>
      </c>
      <c r="E973" s="17" t="s">
        <v>38</v>
      </c>
      <c r="F973" s="18">
        <v>46007</v>
      </c>
      <c r="G973">
        <v>36</v>
      </c>
      <c r="H973">
        <v>4.7</v>
      </c>
      <c r="I973">
        <f>IF(MONTH(calls[[#This Row],[Date of Call]])&lt;=6, YEAR(calls[[#This Row],[Date of Call]]), YEAR(calls[[#This Row],[Date of Call]])+1)</f>
        <v>2026</v>
      </c>
      <c r="J973" t="str">
        <f>TEXT(calls[[#This Row],[Date of Call]],"DDDD")</f>
        <v>Tuesday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1045</v>
      </c>
      <c r="C974" t="s">
        <v>56</v>
      </c>
      <c r="D974">
        <v>45</v>
      </c>
      <c r="E974" s="17" t="s">
        <v>38</v>
      </c>
      <c r="F974" s="18">
        <v>46007</v>
      </c>
      <c r="G974">
        <v>84</v>
      </c>
      <c r="H974">
        <v>2.8</v>
      </c>
      <c r="I974">
        <f>IF(MONTH(calls[[#This Row],[Date of Call]])&lt;=6, YEAR(calls[[#This Row],[Date of Call]]), YEAR(calls[[#This Row],[Date of Call]])+1)</f>
        <v>2026</v>
      </c>
      <c r="J974" t="str">
        <f>TEXT(calls[[#This Row],[Date of Call]],"DDDD")</f>
        <v>Tuesday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1046</v>
      </c>
      <c r="C975" t="s">
        <v>49</v>
      </c>
      <c r="D975">
        <v>141</v>
      </c>
      <c r="E975" s="17" t="s">
        <v>38</v>
      </c>
      <c r="F975" s="18">
        <v>46007</v>
      </c>
      <c r="G975">
        <v>66</v>
      </c>
      <c r="H975">
        <v>3.2</v>
      </c>
      <c r="I975">
        <f>IF(MONTH(calls[[#This Row],[Date of Call]])&lt;=6, YEAR(calls[[#This Row],[Date of Call]]), YEAR(calls[[#This Row],[Date of Call]])+1)</f>
        <v>2026</v>
      </c>
      <c r="J975" t="str">
        <f>TEXT(calls[[#This Row],[Date of Call]],"DDDD")</f>
        <v>Tuesday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1047</v>
      </c>
      <c r="C976" t="s">
        <v>52</v>
      </c>
      <c r="D976">
        <v>147</v>
      </c>
      <c r="E976" s="17" t="s">
        <v>37</v>
      </c>
      <c r="F976" s="18">
        <v>46007</v>
      </c>
      <c r="G976">
        <v>76</v>
      </c>
      <c r="H976">
        <v>4.7</v>
      </c>
      <c r="I976">
        <f>IF(MONTH(calls[[#This Row],[Date of Call]])&lt;=6, YEAR(calls[[#This Row],[Date of Call]]), YEAR(calls[[#This Row],[Date of Call]])+1)</f>
        <v>2026</v>
      </c>
      <c r="J976" t="str">
        <f>TEXT(calls[[#This Row],[Date of Call]],"DDDD")</f>
        <v>Tuesday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1048</v>
      </c>
      <c r="C977" t="s">
        <v>54</v>
      </c>
      <c r="D977">
        <v>126</v>
      </c>
      <c r="E977" s="17" t="s">
        <v>37</v>
      </c>
      <c r="F977" s="18">
        <v>46007</v>
      </c>
      <c r="G977">
        <v>185</v>
      </c>
      <c r="H977">
        <v>4.8</v>
      </c>
      <c r="I977">
        <f>IF(MONTH(calls[[#This Row],[Date of Call]])&lt;=6, YEAR(calls[[#This Row],[Date of Call]]), YEAR(calls[[#This Row],[Date of Call]])+1)</f>
        <v>2026</v>
      </c>
      <c r="J977" t="str">
        <f>TEXT(calls[[#This Row],[Date of Call]],"DDDD")</f>
        <v>Tuesday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1049</v>
      </c>
      <c r="C978" t="s">
        <v>56</v>
      </c>
      <c r="D978">
        <v>126</v>
      </c>
      <c r="E978" s="17" t="s">
        <v>34</v>
      </c>
      <c r="F978" s="18">
        <v>46008</v>
      </c>
      <c r="G978">
        <v>80</v>
      </c>
      <c r="H978">
        <v>4.7</v>
      </c>
      <c r="I978">
        <f>IF(MONTH(calls[[#This Row],[Date of Call]])&lt;=6, YEAR(calls[[#This Row],[Date of Call]]), YEAR(calls[[#This Row],[Date of Call]])+1)</f>
        <v>2026</v>
      </c>
      <c r="J978" t="str">
        <f>TEXT(calls[[#This Row],[Date of Call]],"DDDD")</f>
        <v>Wednesday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1050</v>
      </c>
      <c r="C979" t="s">
        <v>53</v>
      </c>
      <c r="D979">
        <v>32</v>
      </c>
      <c r="E979" s="17" t="s">
        <v>37</v>
      </c>
      <c r="F979" s="18">
        <v>46008</v>
      </c>
      <c r="G979">
        <v>148</v>
      </c>
      <c r="H979">
        <v>4</v>
      </c>
      <c r="I979">
        <f>IF(MONTH(calls[[#This Row],[Date of Call]])&lt;=6, YEAR(calls[[#This Row],[Date of Call]]), YEAR(calls[[#This Row],[Date of Call]])+1)</f>
        <v>2026</v>
      </c>
      <c r="J979" t="str">
        <f>TEXT(calls[[#This Row],[Date of Call]],"DDDD")</f>
        <v>Wednesday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1051</v>
      </c>
      <c r="C980" t="s">
        <v>56</v>
      </c>
      <c r="D980">
        <v>84</v>
      </c>
      <c r="E980" s="17" t="s">
        <v>36</v>
      </c>
      <c r="F980" s="18">
        <v>46010</v>
      </c>
      <c r="G980">
        <v>180</v>
      </c>
      <c r="H980">
        <v>4.9000000000000004</v>
      </c>
      <c r="I980">
        <f>IF(MONTH(calls[[#This Row],[Date of Call]])&lt;=6, YEAR(calls[[#This Row],[Date of Call]]), YEAR(calls[[#This Row],[Date of Call]])+1)</f>
        <v>2026</v>
      </c>
      <c r="J980" t="str">
        <f>TEXT(calls[[#This Row],[Date of Call]],"DDDD")</f>
        <v>Friday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1052</v>
      </c>
      <c r="C981" t="s">
        <v>58</v>
      </c>
      <c r="D981">
        <v>120</v>
      </c>
      <c r="E981" s="17" t="s">
        <v>34</v>
      </c>
      <c r="F981" s="18">
        <v>46011</v>
      </c>
      <c r="G981">
        <v>190</v>
      </c>
      <c r="H981">
        <v>3.7</v>
      </c>
      <c r="I981">
        <f>IF(MONTH(calls[[#This Row],[Date of Call]])&lt;=6, YEAR(calls[[#This Row],[Date of Call]]), YEAR(calls[[#This Row],[Date of Call]])+1)</f>
        <v>2026</v>
      </c>
      <c r="J981" t="str">
        <f>TEXT(calls[[#This Row],[Date of Call]],"DDDD")</f>
        <v>Saturday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1053</v>
      </c>
      <c r="C982" t="s">
        <v>47</v>
      </c>
      <c r="D982">
        <v>93</v>
      </c>
      <c r="E982" s="17" t="s">
        <v>37</v>
      </c>
      <c r="F982" s="18">
        <v>46011</v>
      </c>
      <c r="G982">
        <v>38</v>
      </c>
      <c r="H982">
        <v>4.5</v>
      </c>
      <c r="I982">
        <f>IF(MONTH(calls[[#This Row],[Date of Call]])&lt;=6, YEAR(calls[[#This Row],[Date of Call]]), YEAR(calls[[#This Row],[Date of Call]])+1)</f>
        <v>2026</v>
      </c>
      <c r="J982" t="str">
        <f>TEXT(calls[[#This Row],[Date of Call]],"DDDD")</f>
        <v>Saturday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1054</v>
      </c>
      <c r="C983" t="s">
        <v>50</v>
      </c>
      <c r="D983">
        <v>76</v>
      </c>
      <c r="E983" s="17" t="s">
        <v>35</v>
      </c>
      <c r="F983" s="18">
        <v>46012</v>
      </c>
      <c r="G983">
        <v>82</v>
      </c>
      <c r="H983">
        <v>2.1</v>
      </c>
      <c r="I983">
        <f>IF(MONTH(calls[[#This Row],[Date of Call]])&lt;=6, YEAR(calls[[#This Row],[Date of Call]]), YEAR(calls[[#This Row],[Date of Call]])+1)</f>
        <v>2026</v>
      </c>
      <c r="J983" t="str">
        <f>TEXT(calls[[#This Row],[Date of Call]],"DDDD")</f>
        <v>Sunday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1055</v>
      </c>
      <c r="C984" t="s">
        <v>51</v>
      </c>
      <c r="D984">
        <v>89</v>
      </c>
      <c r="E984" s="17" t="s">
        <v>37</v>
      </c>
      <c r="F984" s="18">
        <v>46015</v>
      </c>
      <c r="G984">
        <v>88</v>
      </c>
      <c r="H984">
        <v>2.8</v>
      </c>
      <c r="I984">
        <f>IF(MONTH(calls[[#This Row],[Date of Call]])&lt;=6, YEAR(calls[[#This Row],[Date of Call]]), YEAR(calls[[#This Row],[Date of Call]])+1)</f>
        <v>2026</v>
      </c>
      <c r="J984" t="str">
        <f>TEXT(calls[[#This Row],[Date of Call]],"DDDD")</f>
        <v>Wednesday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1056</v>
      </c>
      <c r="C985" t="s">
        <v>59</v>
      </c>
      <c r="D985">
        <v>91</v>
      </c>
      <c r="E985" s="17" t="s">
        <v>36</v>
      </c>
      <c r="F985" s="18">
        <v>46015</v>
      </c>
      <c r="G985">
        <v>42</v>
      </c>
      <c r="H985">
        <v>4.0999999999999996</v>
      </c>
      <c r="I985">
        <f>IF(MONTH(calls[[#This Row],[Date of Call]])&lt;=6, YEAR(calls[[#This Row],[Date of Call]]), YEAR(calls[[#This Row],[Date of Call]])+1)</f>
        <v>2026</v>
      </c>
      <c r="J985" t="str">
        <f>TEXT(calls[[#This Row],[Date of Call]],"DDDD")</f>
        <v>Wednesday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1057</v>
      </c>
      <c r="C986" t="s">
        <v>57</v>
      </c>
      <c r="D986">
        <v>7</v>
      </c>
      <c r="E986" s="17" t="s">
        <v>38</v>
      </c>
      <c r="F986" s="18">
        <v>46016</v>
      </c>
      <c r="G986">
        <v>64</v>
      </c>
      <c r="H986">
        <v>3.3</v>
      </c>
      <c r="I986">
        <f>IF(MONTH(calls[[#This Row],[Date of Call]])&lt;=6, YEAR(calls[[#This Row],[Date of Call]]), YEAR(calls[[#This Row],[Date of Call]])+1)</f>
        <v>2026</v>
      </c>
      <c r="J986" t="str">
        <f>TEXT(calls[[#This Row],[Date of Call]],"DDDD")</f>
        <v>Thursday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1058</v>
      </c>
      <c r="C987" t="s">
        <v>53</v>
      </c>
      <c r="D987">
        <v>140</v>
      </c>
      <c r="E987" s="17" t="s">
        <v>38</v>
      </c>
      <c r="F987" s="18">
        <v>46016</v>
      </c>
      <c r="G987">
        <v>105</v>
      </c>
      <c r="H987">
        <v>1.7</v>
      </c>
      <c r="I987">
        <f>IF(MONTH(calls[[#This Row],[Date of Call]])&lt;=6, YEAR(calls[[#This Row],[Date of Call]]), YEAR(calls[[#This Row],[Date of Call]])+1)</f>
        <v>2026</v>
      </c>
      <c r="J987" t="str">
        <f>TEXT(calls[[#This Row],[Date of Call]],"DDDD")</f>
        <v>Thursday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1059</v>
      </c>
      <c r="C988" t="s">
        <v>46</v>
      </c>
      <c r="D988">
        <v>58</v>
      </c>
      <c r="E988" s="17" t="s">
        <v>34</v>
      </c>
      <c r="F988" s="18">
        <v>46016</v>
      </c>
      <c r="G988">
        <v>25</v>
      </c>
      <c r="H988">
        <v>3.6</v>
      </c>
      <c r="I988">
        <f>IF(MONTH(calls[[#This Row],[Date of Call]])&lt;=6, YEAR(calls[[#This Row],[Date of Call]]), YEAR(calls[[#This Row],[Date of Call]])+1)</f>
        <v>2026</v>
      </c>
      <c r="J988" t="str">
        <f>TEXT(calls[[#This Row],[Date of Call]],"DDDD")</f>
        <v>Thursday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1060</v>
      </c>
      <c r="C989" t="s">
        <v>45</v>
      </c>
      <c r="D989">
        <v>90</v>
      </c>
      <c r="E989" s="17" t="s">
        <v>35</v>
      </c>
      <c r="F989" s="18">
        <v>46017</v>
      </c>
      <c r="G989">
        <v>176</v>
      </c>
      <c r="H989">
        <v>3.6</v>
      </c>
      <c r="I989">
        <f>IF(MONTH(calls[[#This Row],[Date of Call]])&lt;=6, YEAR(calls[[#This Row],[Date of Call]]), YEAR(calls[[#This Row],[Date of Call]])+1)</f>
        <v>2026</v>
      </c>
      <c r="J989" t="str">
        <f>TEXT(calls[[#This Row],[Date of Call]],"DDDD")</f>
        <v>Friday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1061</v>
      </c>
      <c r="C990" t="s">
        <v>45</v>
      </c>
      <c r="D990">
        <v>106</v>
      </c>
      <c r="E990" s="17" t="s">
        <v>37</v>
      </c>
      <c r="F990" s="18">
        <v>46018</v>
      </c>
      <c r="G990">
        <v>46</v>
      </c>
      <c r="H990">
        <v>4.5999999999999996</v>
      </c>
      <c r="I990">
        <f>IF(MONTH(calls[[#This Row],[Date of Call]])&lt;=6, YEAR(calls[[#This Row],[Date of Call]]), YEAR(calls[[#This Row],[Date of Call]])+1)</f>
        <v>2026</v>
      </c>
      <c r="J990" t="str">
        <f>TEXT(calls[[#This Row],[Date of Call]],"DDDD")</f>
        <v>Saturday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1062</v>
      </c>
      <c r="C991" t="s">
        <v>58</v>
      </c>
      <c r="D991">
        <v>72</v>
      </c>
      <c r="E991" s="17" t="s">
        <v>38</v>
      </c>
      <c r="F991" s="18">
        <v>46018</v>
      </c>
      <c r="G991">
        <v>164</v>
      </c>
      <c r="H991">
        <v>4.8</v>
      </c>
      <c r="I991">
        <f>IF(MONTH(calls[[#This Row],[Date of Call]])&lt;=6, YEAR(calls[[#This Row],[Date of Call]]), YEAR(calls[[#This Row],[Date of Call]])+1)</f>
        <v>2026</v>
      </c>
      <c r="J991" t="str">
        <f>TEXT(calls[[#This Row],[Date of Call]],"DDDD")</f>
        <v>Saturday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1063</v>
      </c>
      <c r="C992" t="s">
        <v>57</v>
      </c>
      <c r="D992">
        <v>124</v>
      </c>
      <c r="E992" s="17" t="s">
        <v>38</v>
      </c>
      <c r="F992" s="18">
        <v>46019</v>
      </c>
      <c r="G992">
        <v>64</v>
      </c>
      <c r="H992">
        <v>4.5</v>
      </c>
      <c r="I992">
        <f>IF(MONTH(calls[[#This Row],[Date of Call]])&lt;=6, YEAR(calls[[#This Row],[Date of Call]]), YEAR(calls[[#This Row],[Date of Call]])+1)</f>
        <v>2026</v>
      </c>
      <c r="J992" t="str">
        <f>TEXT(calls[[#This Row],[Date of Call]],"DDDD")</f>
        <v>Sunday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1064</v>
      </c>
      <c r="C993" t="s">
        <v>49</v>
      </c>
      <c r="D993">
        <v>86</v>
      </c>
      <c r="E993" s="17" t="s">
        <v>36</v>
      </c>
      <c r="F993" s="18">
        <v>46019</v>
      </c>
      <c r="G993">
        <v>205</v>
      </c>
      <c r="H993">
        <v>4.5</v>
      </c>
      <c r="I993">
        <f>IF(MONTH(calls[[#This Row],[Date of Call]])&lt;=6, YEAR(calls[[#This Row],[Date of Call]]), YEAR(calls[[#This Row],[Date of Call]])+1)</f>
        <v>2026</v>
      </c>
      <c r="J993" t="str">
        <f>TEXT(calls[[#This Row],[Date of Call]],"DDDD")</f>
        <v>Sunday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1065</v>
      </c>
      <c r="C994" t="s">
        <v>56</v>
      </c>
      <c r="D994">
        <v>164</v>
      </c>
      <c r="E994" s="17" t="s">
        <v>36</v>
      </c>
      <c r="F994" s="18">
        <v>46020</v>
      </c>
      <c r="G994">
        <v>100</v>
      </c>
      <c r="H994">
        <v>4.5999999999999996</v>
      </c>
      <c r="I994">
        <f>IF(MONTH(calls[[#This Row],[Date of Call]])&lt;=6, YEAR(calls[[#This Row],[Date of Call]]), YEAR(calls[[#This Row],[Date of Call]])+1)</f>
        <v>2026</v>
      </c>
      <c r="J994" t="str">
        <f>TEXT(calls[[#This Row],[Date of Call]],"DDDD")</f>
        <v>Monday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1066</v>
      </c>
      <c r="C995" t="s">
        <v>47</v>
      </c>
      <c r="D995">
        <v>40</v>
      </c>
      <c r="E995" s="17" t="s">
        <v>35</v>
      </c>
      <c r="F995" s="18">
        <v>46020</v>
      </c>
      <c r="G995">
        <v>111</v>
      </c>
      <c r="H995">
        <v>4.5999999999999996</v>
      </c>
      <c r="I995">
        <f>IF(MONTH(calls[[#This Row],[Date of Call]])&lt;=6, YEAR(calls[[#This Row],[Date of Call]]), YEAR(calls[[#This Row],[Date of Call]])+1)</f>
        <v>2026</v>
      </c>
      <c r="J995" t="str">
        <f>TEXT(calls[[#This Row],[Date of Call]],"DDDD")</f>
        <v>Monday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1067</v>
      </c>
      <c r="C996" t="s">
        <v>59</v>
      </c>
      <c r="D996">
        <v>76</v>
      </c>
      <c r="E996" s="17" t="s">
        <v>34</v>
      </c>
      <c r="F996" s="18">
        <v>46020</v>
      </c>
      <c r="G996">
        <v>80</v>
      </c>
      <c r="H996">
        <v>3.5</v>
      </c>
      <c r="I996">
        <f>IF(MONTH(calls[[#This Row],[Date of Call]])&lt;=6, YEAR(calls[[#This Row],[Date of Call]]), YEAR(calls[[#This Row],[Date of Call]])+1)</f>
        <v>2026</v>
      </c>
      <c r="J996" t="str">
        <f>TEXT(calls[[#This Row],[Date of Call]],"DDDD")</f>
        <v>Monday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1068</v>
      </c>
      <c r="C997" t="s">
        <v>57</v>
      </c>
      <c r="D997">
        <v>95</v>
      </c>
      <c r="E997" s="17" t="s">
        <v>37</v>
      </c>
      <c r="F997" s="18">
        <v>46020</v>
      </c>
      <c r="G997">
        <v>50</v>
      </c>
      <c r="H997">
        <v>2.9</v>
      </c>
      <c r="I997">
        <f>IF(MONTH(calls[[#This Row],[Date of Call]])&lt;=6, YEAR(calls[[#This Row],[Date of Call]]), YEAR(calls[[#This Row],[Date of Call]])+1)</f>
        <v>2026</v>
      </c>
      <c r="J997" t="str">
        <f>TEXT(calls[[#This Row],[Date of Call]],"DDDD")</f>
        <v>Monday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1069</v>
      </c>
      <c r="C998" t="s">
        <v>59</v>
      </c>
      <c r="D998">
        <v>113</v>
      </c>
      <c r="E998" s="17" t="s">
        <v>38</v>
      </c>
      <c r="F998" s="18">
        <v>46021</v>
      </c>
      <c r="G998">
        <v>165</v>
      </c>
      <c r="H998">
        <v>4.7</v>
      </c>
      <c r="I998">
        <f>IF(MONTH(calls[[#This Row],[Date of Call]])&lt;=6, YEAR(calls[[#This Row],[Date of Call]]), YEAR(calls[[#This Row],[Date of Call]])+1)</f>
        <v>2026</v>
      </c>
      <c r="J998" t="str">
        <f>TEXT(calls[[#This Row],[Date of Call]],"DDDD")</f>
        <v>Tuesday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1070</v>
      </c>
      <c r="C999" t="s">
        <v>49</v>
      </c>
      <c r="D999">
        <v>81</v>
      </c>
      <c r="E999" s="17" t="s">
        <v>38</v>
      </c>
      <c r="F999" s="18">
        <v>46021</v>
      </c>
      <c r="G999">
        <v>28</v>
      </c>
      <c r="H999">
        <v>3.9</v>
      </c>
      <c r="I999">
        <f>IF(MONTH(calls[[#This Row],[Date of Call]])&lt;=6, YEAR(calls[[#This Row],[Date of Call]]), YEAR(calls[[#This Row],[Date of Call]])+1)</f>
        <v>2026</v>
      </c>
      <c r="J999" t="str">
        <f>TEXT(calls[[#This Row],[Date of Call]],"DDDD")</f>
        <v>Tuesday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1071</v>
      </c>
      <c r="C1000" t="s">
        <v>50</v>
      </c>
      <c r="D1000">
        <v>127</v>
      </c>
      <c r="E1000" s="17" t="s">
        <v>37</v>
      </c>
      <c r="F1000" s="18">
        <v>46021</v>
      </c>
      <c r="G1000">
        <v>215</v>
      </c>
      <c r="H1000">
        <v>3.8</v>
      </c>
      <c r="I1000">
        <f>IF(MONTH(calls[[#This Row],[Date of Call]])&lt;=6, YEAR(calls[[#This Row],[Date of Call]]), YEAR(calls[[#This Row],[Date of Call]])+1)</f>
        <v>2026</v>
      </c>
      <c r="J1000" t="str">
        <f>TEXT(calls[[#This Row],[Date of Call]],"DDDD")</f>
        <v>Tuesday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1072</v>
      </c>
      <c r="C1001" t="s">
        <v>53</v>
      </c>
      <c r="D1001">
        <v>146</v>
      </c>
      <c r="E1001" s="17" t="s">
        <v>38</v>
      </c>
      <c r="F1001" s="18">
        <v>46022</v>
      </c>
      <c r="G1001">
        <v>115</v>
      </c>
      <c r="H1001">
        <v>2.2999999999999998</v>
      </c>
      <c r="I1001">
        <f>IF(MONTH(calls[[#This Row],[Date of Call]])&lt;=6, YEAR(calls[[#This Row],[Date of Call]]), YEAR(calls[[#This Row],[Date of Call]])+1)</f>
        <v>2026</v>
      </c>
      <c r="J1001" t="str">
        <f>TEXT(calls[[#This Row],[Date of Call]],"DDDD")</f>
        <v>Wednesday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1073</v>
      </c>
      <c r="C1002" t="s">
        <v>52</v>
      </c>
      <c r="D1002">
        <v>123</v>
      </c>
      <c r="E1002" s="17" t="s">
        <v>38</v>
      </c>
      <c r="F1002" s="18">
        <v>46022</v>
      </c>
      <c r="G1002">
        <v>64</v>
      </c>
      <c r="H1002">
        <v>3.7</v>
      </c>
      <c r="I1002">
        <f>IF(MONTH(calls[[#This Row],[Date of Call]])&lt;=6, YEAR(calls[[#This Row],[Date of Call]]), YEAR(calls[[#This Row],[Date of Call]])+1)</f>
        <v>2026</v>
      </c>
      <c r="J1002" t="str">
        <f>TEXT(calls[[#This Row],[Date of Call]],"DDDD")</f>
        <v>Wednesday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1074</v>
      </c>
      <c r="C1003" t="s">
        <v>58</v>
      </c>
      <c r="D1003">
        <v>114</v>
      </c>
      <c r="E1003" s="17" t="s">
        <v>34</v>
      </c>
      <c r="F1003" s="18">
        <v>46022</v>
      </c>
      <c r="G1003">
        <v>40</v>
      </c>
      <c r="H1003">
        <v>3.9</v>
      </c>
      <c r="I1003">
        <f>IF(MONTH(calls[[#This Row],[Date of Call]])&lt;=6, YEAR(calls[[#This Row],[Date of Call]]), YEAR(calls[[#This Row],[Date of Call]])+1)</f>
        <v>2026</v>
      </c>
      <c r="J1003" t="str">
        <f>TEXT(calls[[#This Row],[Date of Call]],"DDDD")</f>
        <v>Wednesday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topLeftCell="B1" zoomScale="61" zoomScaleNormal="115" workbookViewId="0">
      <selection activeCell="F7" sqref="F7"/>
    </sheetView>
  </sheetViews>
  <sheetFormatPr defaultRowHeight="14.45"/>
  <cols>
    <col min="6" max="6" width="10.85546875" customWidth="1"/>
    <col min="7" max="7" width="29.5703125" customWidth="1"/>
    <col min="9" max="9" width="17" customWidth="1"/>
  </cols>
  <sheetData>
    <row r="3" ht="60.6" customHeight="1"/>
    <row r="4" ht="108" customHeight="1"/>
    <row r="5" ht="75" customHeight="1"/>
    <row r="6" ht="73.150000000000006" customHeight="1"/>
    <row r="7" ht="76.900000000000006" customHeight="1"/>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F1D-BEDF-46B2-9244-B4D950F3E441}">
  <dimension ref="A1:DU124"/>
  <sheetViews>
    <sheetView tabSelected="1" zoomScale="50" workbookViewId="0">
      <selection activeCell="CZ59" sqref="CZ59:DP87"/>
    </sheetView>
  </sheetViews>
  <sheetFormatPr defaultColWidth="8.85546875" defaultRowHeight="14.45"/>
  <cols>
    <col min="1" max="1" width="6" style="20" customWidth="1"/>
    <col min="2" max="2" width="4.28515625" style="20" customWidth="1"/>
    <col min="3" max="20" width="8.85546875" style="20"/>
    <col min="21" max="21" width="14.28515625" style="20" customWidth="1"/>
    <col min="22" max="25" width="11.7109375" style="20" bestFit="1" customWidth="1"/>
    <col min="26" max="26" width="13.7109375" style="20" customWidth="1"/>
    <col min="27" max="27" width="12.7109375" style="20" customWidth="1"/>
    <col min="28" max="16384" width="8.85546875" style="20"/>
  </cols>
  <sheetData>
    <row r="1" spans="1:121" s="26" customFormat="1" ht="56.45" customHeight="1">
      <c r="B1" s="27" t="s">
        <v>1075</v>
      </c>
      <c r="CZ1" s="25"/>
      <c r="DA1" s="25"/>
      <c r="DB1" s="25"/>
      <c r="DC1" s="25"/>
      <c r="DD1" s="25"/>
      <c r="DE1" s="25"/>
      <c r="DF1" s="25"/>
      <c r="DG1" s="25"/>
      <c r="DH1" s="25"/>
      <c r="DI1" s="25"/>
      <c r="DJ1" s="25"/>
      <c r="DK1" s="25"/>
      <c r="DL1" s="25"/>
      <c r="DM1" s="25"/>
      <c r="DN1" s="25"/>
      <c r="DO1" s="25"/>
      <c r="DP1" s="25"/>
      <c r="DQ1" s="25"/>
    </row>
    <row r="2" spans="1:12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row>
    <row r="3" spans="1:121">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row>
    <row r="4" spans="1:121">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row>
    <row r="5" spans="1:121">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row>
    <row r="6" spans="1:121">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row>
    <row r="7" spans="1:121">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25"/>
    </row>
    <row r="8" spans="1:121">
      <c r="A8" s="25" t="s">
        <v>1076</v>
      </c>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row>
    <row r="9" spans="1:121">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row>
    <row r="10" spans="1:121">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row>
    <row r="11" spans="1:12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row>
    <row r="12" spans="1:121">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row>
    <row r="13" spans="1:121">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row>
    <row r="14" spans="1:12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row>
    <row r="15" spans="1:121">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row>
    <row r="16" spans="1:121">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row>
    <row r="17" spans="1:12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row>
    <row r="18" spans="1:12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row>
    <row r="19" spans="1:12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row>
    <row r="20" spans="1:12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row>
    <row r="21" spans="1:12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row>
    <row r="22" spans="1:12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row>
    <row r="23" spans="1:12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row>
    <row r="24" spans="1:12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row>
    <row r="25" spans="1:125" ht="18.600000000000001">
      <c r="A25" s="25"/>
      <c r="B25" s="25"/>
      <c r="C25" s="25"/>
      <c r="D25" s="25"/>
      <c r="E25" s="25"/>
      <c r="F25" s="25"/>
      <c r="G25" s="25"/>
      <c r="H25" s="25"/>
      <c r="I25" s="25"/>
      <c r="J25" s="25"/>
      <c r="K25" s="25"/>
      <c r="L25" s="25"/>
      <c r="M25" s="25"/>
      <c r="N25" s="25"/>
      <c r="O25" s="25"/>
      <c r="P25" s="25"/>
      <c r="Q25" s="25"/>
      <c r="R25" s="25"/>
      <c r="S25" s="25"/>
      <c r="T25" s="36"/>
      <c r="U25" s="37"/>
      <c r="V25" s="47" t="s">
        <v>1077</v>
      </c>
      <c r="W25" s="47" t="s">
        <v>1078</v>
      </c>
      <c r="X25" s="47" t="s">
        <v>1079</v>
      </c>
      <c r="Y25" s="47" t="s">
        <v>1080</v>
      </c>
      <c r="Z25" s="47" t="s">
        <v>1081</v>
      </c>
      <c r="AA25" s="48" t="s">
        <v>1082</v>
      </c>
      <c r="AB25" s="25"/>
      <c r="AC25" s="25"/>
      <c r="AD25" s="25"/>
      <c r="AE25" s="3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row>
    <row r="26" spans="1:125" ht="18.600000000000001">
      <c r="A26" s="25"/>
      <c r="B26" s="25"/>
      <c r="C26" s="25"/>
      <c r="D26" s="25"/>
      <c r="E26" s="25"/>
      <c r="F26" s="25"/>
      <c r="G26" s="25"/>
      <c r="H26" s="25"/>
      <c r="I26" s="25"/>
      <c r="J26" s="25"/>
      <c r="K26" s="25"/>
      <c r="L26" s="25"/>
      <c r="M26" s="25"/>
      <c r="N26" s="25"/>
      <c r="O26" s="25"/>
      <c r="P26" s="25"/>
      <c r="Q26" s="25"/>
      <c r="R26" s="25"/>
      <c r="S26" s="25"/>
      <c r="T26" s="36"/>
      <c r="U26" s="38" t="str">
        <f>pivot!E102</f>
        <v>Cincinnati</v>
      </c>
      <c r="V26" s="39"/>
      <c r="W26" s="39"/>
      <c r="X26" s="39"/>
      <c r="Y26" s="39"/>
      <c r="Z26" s="39"/>
      <c r="AA26" s="40"/>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row>
    <row r="27" spans="1:125" ht="18">
      <c r="A27" s="25"/>
      <c r="B27" s="25"/>
      <c r="C27" s="25"/>
      <c r="D27" s="25"/>
      <c r="E27" s="25"/>
      <c r="F27" s="25"/>
      <c r="G27" s="25"/>
      <c r="H27" s="25"/>
      <c r="I27" s="25"/>
      <c r="J27" s="25"/>
      <c r="K27" s="25"/>
      <c r="L27" s="25"/>
      <c r="M27" s="25"/>
      <c r="N27" s="25"/>
      <c r="O27" s="25"/>
      <c r="P27" s="25"/>
      <c r="Q27" s="25"/>
      <c r="R27" s="25"/>
      <c r="S27" s="25"/>
      <c r="T27" s="36"/>
      <c r="U27" s="41" t="str">
        <f>pivot!E103</f>
        <v>C0003</v>
      </c>
      <c r="V27" s="42">
        <f>pivot!F103</f>
        <v>891</v>
      </c>
      <c r="W27" s="42">
        <f>pivot!G103</f>
        <v>1332</v>
      </c>
      <c r="X27" s="42">
        <f>pivot!H103</f>
        <v>1282</v>
      </c>
      <c r="Y27" s="42">
        <f>pivot!I103</f>
        <v>739</v>
      </c>
      <c r="Z27" s="42">
        <f>pivot!J103</f>
        <v>560</v>
      </c>
      <c r="AA27" s="43">
        <f>pivot!K103</f>
        <v>4804</v>
      </c>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row>
    <row r="28" spans="1:125" ht="18">
      <c r="A28" s="25"/>
      <c r="B28" s="25"/>
      <c r="C28" s="25"/>
      <c r="D28" s="25"/>
      <c r="E28" s="25"/>
      <c r="F28" s="25"/>
      <c r="G28" s="25"/>
      <c r="H28" s="25"/>
      <c r="I28" s="25"/>
      <c r="J28" s="25"/>
      <c r="K28" s="25"/>
      <c r="L28" s="25"/>
      <c r="M28" s="25"/>
      <c r="N28" s="25"/>
      <c r="O28" s="25"/>
      <c r="P28" s="25"/>
      <c r="Q28" s="25"/>
      <c r="R28" s="25"/>
      <c r="S28" s="25"/>
      <c r="T28" s="36"/>
      <c r="U28" s="41" t="str">
        <f>pivot!E104</f>
        <v>C0004</v>
      </c>
      <c r="V28" s="42">
        <f>pivot!F104</f>
        <v>1991</v>
      </c>
      <c r="W28" s="42">
        <f>pivot!G104</f>
        <v>1886</v>
      </c>
      <c r="X28" s="42">
        <f>pivot!H104</f>
        <v>1206</v>
      </c>
      <c r="Y28" s="42">
        <f>pivot!I104</f>
        <v>884</v>
      </c>
      <c r="Z28" s="42">
        <f>pivot!J104</f>
        <v>1722</v>
      </c>
      <c r="AA28" s="43">
        <f>pivot!K104</f>
        <v>7689</v>
      </c>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row>
    <row r="29" spans="1:125" ht="18">
      <c r="A29" s="25"/>
      <c r="B29" s="25"/>
      <c r="C29" s="25"/>
      <c r="D29" s="25"/>
      <c r="E29" s="25"/>
      <c r="F29" s="25"/>
      <c r="G29" s="25"/>
      <c r="H29" s="25"/>
      <c r="I29" s="25"/>
      <c r="J29" s="25"/>
      <c r="K29" s="25"/>
      <c r="L29" s="25"/>
      <c r="M29" s="25"/>
      <c r="N29" s="25"/>
      <c r="O29" s="25"/>
      <c r="P29" s="25"/>
      <c r="Q29" s="25"/>
      <c r="R29" s="25"/>
      <c r="S29" s="25"/>
      <c r="T29" s="36"/>
      <c r="U29" s="41" t="str">
        <f>pivot!E105</f>
        <v>C0011</v>
      </c>
      <c r="V29" s="42">
        <f>pivot!F105</f>
        <v>1163</v>
      </c>
      <c r="W29" s="42">
        <f>pivot!G105</f>
        <v>1180</v>
      </c>
      <c r="X29" s="42">
        <f>pivot!H105</f>
        <v>1616</v>
      </c>
      <c r="Y29" s="42">
        <f>pivot!I105</f>
        <v>1043</v>
      </c>
      <c r="Z29" s="42">
        <f>pivot!J105</f>
        <v>1747</v>
      </c>
      <c r="AA29" s="43">
        <f>pivot!K105</f>
        <v>6749</v>
      </c>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row>
    <row r="30" spans="1:125" ht="18">
      <c r="A30" s="25"/>
      <c r="B30" s="25"/>
      <c r="C30" s="25"/>
      <c r="D30" s="25"/>
      <c r="E30" s="25"/>
      <c r="F30" s="25"/>
      <c r="G30" s="25"/>
      <c r="H30" s="25"/>
      <c r="I30" s="25"/>
      <c r="J30" s="25"/>
      <c r="K30" s="25"/>
      <c r="L30" s="25"/>
      <c r="M30" s="25"/>
      <c r="N30" s="25"/>
      <c r="O30" s="25"/>
      <c r="P30" s="25"/>
      <c r="Q30" s="25"/>
      <c r="R30" s="25"/>
      <c r="S30" s="25"/>
      <c r="T30" s="36"/>
      <c r="U30" s="41" t="str">
        <f>pivot!E106</f>
        <v>C0012</v>
      </c>
      <c r="V30" s="42">
        <f>pivot!F106</f>
        <v>1438</v>
      </c>
      <c r="W30" s="42">
        <f>pivot!G106</f>
        <v>1616</v>
      </c>
      <c r="X30" s="42">
        <f>pivot!H106</f>
        <v>866</v>
      </c>
      <c r="Y30" s="42">
        <f>pivot!I106</f>
        <v>829</v>
      </c>
      <c r="Z30" s="42">
        <f>pivot!J106</f>
        <v>2070</v>
      </c>
      <c r="AA30" s="43">
        <f>pivot!K106</f>
        <v>6819</v>
      </c>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row>
    <row r="31" spans="1:125" ht="18.600000000000001">
      <c r="A31" s="25"/>
      <c r="B31" s="25"/>
      <c r="C31" s="25"/>
      <c r="D31" s="25"/>
      <c r="E31" s="25"/>
      <c r="F31" s="25"/>
      <c r="G31" s="25"/>
      <c r="H31" s="25"/>
      <c r="I31" s="25"/>
      <c r="J31" s="25"/>
      <c r="K31" s="25"/>
      <c r="L31" s="25"/>
      <c r="M31" s="25"/>
      <c r="N31" s="25"/>
      <c r="O31" s="25"/>
      <c r="P31" s="25"/>
      <c r="Q31" s="25"/>
      <c r="R31" s="25"/>
      <c r="S31" s="25"/>
      <c r="T31" s="36"/>
      <c r="U31" s="38" t="str">
        <f>pivot!E107</f>
        <v>Cleveland</v>
      </c>
      <c r="V31" s="42"/>
      <c r="W31" s="42"/>
      <c r="X31" s="42"/>
      <c r="Y31" s="42"/>
      <c r="Z31" s="42"/>
      <c r="AA31" s="43"/>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row>
    <row r="32" spans="1:125" ht="18">
      <c r="A32" s="25"/>
      <c r="B32" s="25"/>
      <c r="C32" s="25"/>
      <c r="D32" s="25"/>
      <c r="E32" s="25"/>
      <c r="F32" s="25"/>
      <c r="G32" s="25"/>
      <c r="H32" s="25"/>
      <c r="I32" s="25"/>
      <c r="J32" s="25"/>
      <c r="K32" s="25"/>
      <c r="L32" s="25"/>
      <c r="M32" s="25"/>
      <c r="N32" s="25"/>
      <c r="O32" s="25"/>
      <c r="P32" s="25"/>
      <c r="Q32" s="25"/>
      <c r="R32" s="25"/>
      <c r="S32" s="25"/>
      <c r="T32" s="36"/>
      <c r="U32" s="41" t="str">
        <f>pivot!E108</f>
        <v>C0002</v>
      </c>
      <c r="V32" s="42">
        <f>pivot!F108</f>
        <v>1233</v>
      </c>
      <c r="W32" s="42">
        <f>pivot!G108</f>
        <v>223</v>
      </c>
      <c r="X32" s="42">
        <f>pivot!H108</f>
        <v>1680</v>
      </c>
      <c r="Y32" s="42">
        <f>pivot!I108</f>
        <v>990</v>
      </c>
      <c r="Z32" s="42">
        <f>pivot!J108</f>
        <v>1508</v>
      </c>
      <c r="AA32" s="43">
        <f>pivot!K108</f>
        <v>5634</v>
      </c>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row>
    <row r="33" spans="1:125" ht="18">
      <c r="A33" s="25"/>
      <c r="B33" s="25"/>
      <c r="C33" s="25"/>
      <c r="D33" s="25"/>
      <c r="E33" s="25"/>
      <c r="F33" s="25"/>
      <c r="G33" s="25"/>
      <c r="H33" s="25"/>
      <c r="I33" s="25"/>
      <c r="J33" s="25"/>
      <c r="K33" s="25"/>
      <c r="L33" s="25"/>
      <c r="M33" s="25"/>
      <c r="N33" s="25"/>
      <c r="O33" s="25"/>
      <c r="P33" s="25"/>
      <c r="Q33" s="25"/>
      <c r="R33" s="25"/>
      <c r="S33" s="25"/>
      <c r="T33" s="36"/>
      <c r="U33" s="41" t="str">
        <f>pivot!E109</f>
        <v>C0007</v>
      </c>
      <c r="V33" s="42">
        <f>pivot!F109</f>
        <v>1598</v>
      </c>
      <c r="W33" s="42">
        <f>pivot!G109</f>
        <v>1907</v>
      </c>
      <c r="X33" s="42">
        <f>pivot!H109</f>
        <v>869</v>
      </c>
      <c r="Y33" s="42">
        <f>pivot!I109</f>
        <v>1426</v>
      </c>
      <c r="Z33" s="42">
        <f>pivot!J109</f>
        <v>1416</v>
      </c>
      <c r="AA33" s="43">
        <f>pivot!K109</f>
        <v>7216</v>
      </c>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row>
    <row r="34" spans="1:125" ht="18">
      <c r="A34" s="25"/>
      <c r="B34" s="25"/>
      <c r="C34" s="25"/>
      <c r="D34" s="25"/>
      <c r="E34" s="25"/>
      <c r="F34" s="25"/>
      <c r="G34" s="25"/>
      <c r="H34" s="25"/>
      <c r="I34" s="25"/>
      <c r="J34" s="25"/>
      <c r="K34" s="25"/>
      <c r="L34" s="25"/>
      <c r="M34" s="25"/>
      <c r="N34" s="25"/>
      <c r="O34" s="25"/>
      <c r="P34" s="25"/>
      <c r="Q34" s="25"/>
      <c r="R34" s="25"/>
      <c r="S34" s="25"/>
      <c r="T34" s="36"/>
      <c r="U34" s="41" t="str">
        <f>pivot!E110</f>
        <v>C0008</v>
      </c>
      <c r="V34" s="42">
        <f>pivot!F110</f>
        <v>900</v>
      </c>
      <c r="W34" s="42">
        <f>pivot!G110</f>
        <v>1016</v>
      </c>
      <c r="X34" s="42">
        <f>pivot!H110</f>
        <v>960</v>
      </c>
      <c r="Y34" s="42">
        <f>pivot!I110</f>
        <v>940</v>
      </c>
      <c r="Z34" s="42">
        <f>pivot!J110</f>
        <v>1193</v>
      </c>
      <c r="AA34" s="43">
        <f>pivot!K110</f>
        <v>5009</v>
      </c>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row>
    <row r="35" spans="1:125" ht="18">
      <c r="A35" s="25"/>
      <c r="B35" s="25"/>
      <c r="C35" s="25"/>
      <c r="D35" s="25"/>
      <c r="E35" s="25"/>
      <c r="F35" s="25"/>
      <c r="G35" s="25"/>
      <c r="H35" s="25"/>
      <c r="I35" s="25"/>
      <c r="J35" s="25"/>
      <c r="K35" s="25"/>
      <c r="L35" s="25"/>
      <c r="M35" s="25"/>
      <c r="N35" s="25"/>
      <c r="O35" s="25"/>
      <c r="P35" s="25"/>
      <c r="Q35" s="25"/>
      <c r="R35" s="25"/>
      <c r="S35" s="25"/>
      <c r="T35" s="36"/>
      <c r="U35" s="41" t="str">
        <f>pivot!E111</f>
        <v>C0010</v>
      </c>
      <c r="V35" s="42">
        <f>pivot!F111</f>
        <v>900</v>
      </c>
      <c r="W35" s="42">
        <f>pivot!G111</f>
        <v>1470</v>
      </c>
      <c r="X35" s="42">
        <f>pivot!H111</f>
        <v>1617</v>
      </c>
      <c r="Y35" s="42">
        <f>pivot!I111</f>
        <v>1314</v>
      </c>
      <c r="Z35" s="42">
        <f>pivot!J111</f>
        <v>941</v>
      </c>
      <c r="AA35" s="43">
        <f>pivot!K111</f>
        <v>6242</v>
      </c>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row>
    <row r="36" spans="1:125" ht="18">
      <c r="A36" s="25"/>
      <c r="B36" s="25"/>
      <c r="C36" s="25"/>
      <c r="D36" s="25"/>
      <c r="E36" s="25"/>
      <c r="F36" s="25"/>
      <c r="G36" s="25"/>
      <c r="H36" s="25"/>
      <c r="I36" s="25"/>
      <c r="J36" s="25"/>
      <c r="K36" s="25"/>
      <c r="L36" s="25"/>
      <c r="M36" s="25"/>
      <c r="N36" s="25"/>
      <c r="O36" s="25"/>
      <c r="P36" s="25"/>
      <c r="Q36" s="25"/>
      <c r="R36" s="25"/>
      <c r="S36" s="25"/>
      <c r="T36" s="36"/>
      <c r="U36" s="41" t="str">
        <f>pivot!E112</f>
        <v>C0013</v>
      </c>
      <c r="V36" s="42">
        <f>pivot!F112</f>
        <v>1255</v>
      </c>
      <c r="W36" s="42">
        <f>pivot!G112</f>
        <v>516</v>
      </c>
      <c r="X36" s="42">
        <f>pivot!H112</f>
        <v>1874</v>
      </c>
      <c r="Y36" s="42">
        <f>pivot!I112</f>
        <v>1863</v>
      </c>
      <c r="Z36" s="42">
        <f>pivot!J112</f>
        <v>1722</v>
      </c>
      <c r="AA36" s="43">
        <f>pivot!K112</f>
        <v>7230</v>
      </c>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row>
    <row r="37" spans="1:125" ht="18">
      <c r="A37" s="25"/>
      <c r="B37" s="25"/>
      <c r="C37" s="25"/>
      <c r="D37" s="25"/>
      <c r="E37" s="25"/>
      <c r="F37" s="25"/>
      <c r="G37" s="25"/>
      <c r="H37" s="25"/>
      <c r="I37" s="25"/>
      <c r="J37" s="25"/>
      <c r="K37" s="25"/>
      <c r="L37" s="25"/>
      <c r="M37" s="25"/>
      <c r="N37" s="25"/>
      <c r="O37" s="25"/>
      <c r="P37" s="25"/>
      <c r="Q37" s="25"/>
      <c r="R37" s="25"/>
      <c r="S37" s="25"/>
      <c r="T37" s="36"/>
      <c r="U37" s="41" t="str">
        <f>pivot!E113</f>
        <v>C0015</v>
      </c>
      <c r="V37" s="42">
        <f>pivot!F113</f>
        <v>1138</v>
      </c>
      <c r="W37" s="42">
        <f>pivot!G113</f>
        <v>1898</v>
      </c>
      <c r="X37" s="42">
        <f>pivot!H113</f>
        <v>1482</v>
      </c>
      <c r="Y37" s="42">
        <f>pivot!I113</f>
        <v>846</v>
      </c>
      <c r="Z37" s="42">
        <f>pivot!J113</f>
        <v>1154</v>
      </c>
      <c r="AA37" s="43">
        <f>pivot!K113</f>
        <v>6518</v>
      </c>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row>
    <row r="38" spans="1:125" ht="18.600000000000001">
      <c r="A38" s="25"/>
      <c r="B38" s="25"/>
      <c r="C38" s="25"/>
      <c r="D38" s="25"/>
      <c r="E38" s="25"/>
      <c r="F38" s="25"/>
      <c r="G38" s="25"/>
      <c r="H38" s="25"/>
      <c r="I38" s="25"/>
      <c r="J38" s="25"/>
      <c r="K38" s="25"/>
      <c r="L38" s="25"/>
      <c r="M38" s="25"/>
      <c r="N38" s="25"/>
      <c r="O38" s="25"/>
      <c r="P38" s="25"/>
      <c r="Q38" s="25"/>
      <c r="R38" s="25"/>
      <c r="S38" s="25"/>
      <c r="T38" s="36"/>
      <c r="U38" s="38" t="str">
        <f>pivot!E114</f>
        <v>Columbus</v>
      </c>
      <c r="V38" s="42"/>
      <c r="W38" s="42"/>
      <c r="X38" s="42"/>
      <c r="Y38" s="42"/>
      <c r="Z38" s="42"/>
      <c r="AA38" s="43"/>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row>
    <row r="39" spans="1:125" ht="18">
      <c r="A39" s="25"/>
      <c r="B39" s="25"/>
      <c r="C39" s="25"/>
      <c r="D39" s="25"/>
      <c r="E39" s="25"/>
      <c r="F39" s="25"/>
      <c r="G39" s="25"/>
      <c r="H39" s="25"/>
      <c r="I39" s="25"/>
      <c r="J39" s="25"/>
      <c r="K39" s="25"/>
      <c r="L39" s="25"/>
      <c r="M39" s="25"/>
      <c r="N39" s="25"/>
      <c r="O39" s="25"/>
      <c r="P39" s="25"/>
      <c r="Q39" s="25"/>
      <c r="R39" s="25"/>
      <c r="S39" s="25"/>
      <c r="T39" s="36"/>
      <c r="U39" s="41" t="str">
        <f>pivot!E115</f>
        <v>C0001</v>
      </c>
      <c r="V39" s="42">
        <f>pivot!F115</f>
        <v>1655</v>
      </c>
      <c r="W39" s="42">
        <f>pivot!G115</f>
        <v>805</v>
      </c>
      <c r="X39" s="42">
        <f>pivot!H115</f>
        <v>2263</v>
      </c>
      <c r="Y39" s="42">
        <f>pivot!I115</f>
        <v>987</v>
      </c>
      <c r="Z39" s="42">
        <f>pivot!J115</f>
        <v>1075</v>
      </c>
      <c r="AA39" s="43">
        <f>pivot!K115</f>
        <v>6785</v>
      </c>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row>
    <row r="40" spans="1:125" ht="18">
      <c r="A40" s="25"/>
      <c r="B40" s="25"/>
      <c r="C40" s="25"/>
      <c r="D40" s="25"/>
      <c r="E40" s="25"/>
      <c r="F40" s="25"/>
      <c r="G40" s="25"/>
      <c r="H40" s="25"/>
      <c r="I40" s="25"/>
      <c r="J40" s="25"/>
      <c r="K40" s="25"/>
      <c r="L40" s="25"/>
      <c r="M40" s="25"/>
      <c r="N40" s="25"/>
      <c r="O40" s="25"/>
      <c r="P40" s="25"/>
      <c r="Q40" s="25"/>
      <c r="R40" s="25"/>
      <c r="S40" s="25"/>
      <c r="T40" s="36"/>
      <c r="U40" s="41" t="str">
        <f>pivot!E116</f>
        <v>C0005</v>
      </c>
      <c r="V40" s="42">
        <f>pivot!F116</f>
        <v>1104</v>
      </c>
      <c r="W40" s="42">
        <f>pivot!G116</f>
        <v>2280</v>
      </c>
      <c r="X40" s="42">
        <f>pivot!H116</f>
        <v>1445</v>
      </c>
      <c r="Y40" s="42">
        <f>pivot!I116</f>
        <v>1722</v>
      </c>
      <c r="Z40" s="42">
        <f>pivot!J116</f>
        <v>1196</v>
      </c>
      <c r="AA40" s="43">
        <f>pivot!K116</f>
        <v>7747</v>
      </c>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row>
    <row r="41" spans="1:125" ht="18">
      <c r="A41" s="25"/>
      <c r="B41" s="25"/>
      <c r="C41" s="25"/>
      <c r="D41" s="25"/>
      <c r="E41" s="25"/>
      <c r="F41" s="25"/>
      <c r="G41" s="25"/>
      <c r="H41" s="25"/>
      <c r="I41" s="25"/>
      <c r="J41" s="25"/>
      <c r="K41" s="25"/>
      <c r="L41" s="25"/>
      <c r="M41" s="25"/>
      <c r="N41" s="25"/>
      <c r="O41" s="25"/>
      <c r="P41" s="25"/>
      <c r="Q41" s="25"/>
      <c r="R41" s="25"/>
      <c r="S41" s="25"/>
      <c r="T41" s="36"/>
      <c r="U41" s="41" t="str">
        <f>pivot!E117</f>
        <v>C0006</v>
      </c>
      <c r="V41" s="42">
        <f>pivot!F117</f>
        <v>372</v>
      </c>
      <c r="W41" s="42">
        <f>pivot!G117</f>
        <v>1818</v>
      </c>
      <c r="X41" s="42">
        <f>pivot!H117</f>
        <v>1346</v>
      </c>
      <c r="Y41" s="42">
        <f>pivot!I117</f>
        <v>1156</v>
      </c>
      <c r="Z41" s="42">
        <f>pivot!J117</f>
        <v>1484</v>
      </c>
      <c r="AA41" s="43">
        <f>pivot!K117</f>
        <v>6176</v>
      </c>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row>
    <row r="42" spans="1:125" ht="18">
      <c r="A42" s="25"/>
      <c r="B42" s="25"/>
      <c r="C42" s="25"/>
      <c r="D42" s="25"/>
      <c r="E42" s="25"/>
      <c r="F42" s="25"/>
      <c r="G42" s="25"/>
      <c r="H42" s="25"/>
      <c r="I42" s="25"/>
      <c r="J42" s="25"/>
      <c r="K42" s="25"/>
      <c r="L42" s="25"/>
      <c r="M42" s="25"/>
      <c r="N42" s="25"/>
      <c r="O42" s="25"/>
      <c r="P42" s="25"/>
      <c r="Q42" s="25"/>
      <c r="R42" s="25"/>
      <c r="S42" s="25"/>
      <c r="T42" s="36"/>
      <c r="U42" s="41" t="str">
        <f>pivot!E118</f>
        <v>C0009</v>
      </c>
      <c r="V42" s="42">
        <f>pivot!F118</f>
        <v>1415</v>
      </c>
      <c r="W42" s="42">
        <f>pivot!G118</f>
        <v>1271</v>
      </c>
      <c r="X42" s="42">
        <f>pivot!H118</f>
        <v>1214</v>
      </c>
      <c r="Y42" s="42">
        <f>pivot!I118</f>
        <v>1135</v>
      </c>
      <c r="Z42" s="42">
        <f>pivot!J118</f>
        <v>1566</v>
      </c>
      <c r="AA42" s="43">
        <f>pivot!K118</f>
        <v>6601</v>
      </c>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row>
    <row r="43" spans="1:125" ht="18">
      <c r="A43" s="25"/>
      <c r="B43" s="25"/>
      <c r="C43" s="25"/>
      <c r="D43" s="25"/>
      <c r="E43" s="25"/>
      <c r="F43" s="25"/>
      <c r="G43" s="25"/>
      <c r="H43" s="25"/>
      <c r="I43" s="25"/>
      <c r="J43" s="25"/>
      <c r="K43" s="25"/>
      <c r="L43" s="25"/>
      <c r="M43" s="25"/>
      <c r="N43" s="25"/>
      <c r="O43" s="25"/>
      <c r="P43" s="25"/>
      <c r="Q43" s="25"/>
      <c r="R43" s="25"/>
      <c r="S43" s="25"/>
      <c r="T43" s="36"/>
      <c r="U43" s="44" t="str">
        <f>pivot!E119</f>
        <v>C0014</v>
      </c>
      <c r="V43" s="45">
        <f>pivot!F119</f>
        <v>1362</v>
      </c>
      <c r="W43" s="45">
        <f>pivot!G119</f>
        <v>1363</v>
      </c>
      <c r="X43" s="45">
        <f>pivot!H119</f>
        <v>1152</v>
      </c>
      <c r="Y43" s="45">
        <f>pivot!I119</f>
        <v>777</v>
      </c>
      <c r="Z43" s="45">
        <f>pivot!J119</f>
        <v>750</v>
      </c>
      <c r="AA43" s="46">
        <f>pivot!K119</f>
        <v>5404</v>
      </c>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row>
    <row r="44" spans="1:1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row>
    <row r="45" spans="1:1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row>
    <row r="46" spans="1:1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row>
    <row r="47" spans="1:12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row>
    <row r="48" spans="1:12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row>
    <row r="49" spans="1:1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row>
    <row r="50" spans="1:1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row>
    <row r="51" spans="1:12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row>
    <row r="52" spans="1:12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row>
    <row r="53" spans="1:12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row>
    <row r="54" spans="1:12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row>
    <row r="55" spans="1:1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row>
    <row r="56" spans="1:1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row>
    <row r="57" spans="1:1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row>
    <row r="58" spans="1:1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row>
    <row r="59" spans="1:12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row>
    <row r="60" spans="1:12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row>
    <row r="61" spans="1:12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row>
    <row r="62" spans="1:1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row>
    <row r="63" spans="1:1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row>
    <row r="64" spans="1:1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row>
    <row r="65" spans="1:120">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row>
    <row r="66" spans="1:120">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row>
    <row r="67" spans="1:120">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row>
    <row r="68" spans="1:120">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row>
    <row r="69" spans="1:120">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row>
    <row r="70" spans="1:12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row>
    <row r="71" spans="1:120">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row>
    <row r="72" spans="1:120">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row>
    <row r="73" spans="1:120">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row>
    <row r="74" spans="1:120">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row>
    <row r="75" spans="1:120">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row>
    <row r="76" spans="1:120">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row>
    <row r="77" spans="1:120">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row>
    <row r="78" spans="1:120">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row>
    <row r="79" spans="1:120">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row>
    <row r="80" spans="1:12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row>
    <row r="81" spans="1:120">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row>
    <row r="82" spans="1:120">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row>
    <row r="83" spans="1:120">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c r="DO83" s="25"/>
      <c r="DP83" s="25"/>
    </row>
    <row r="84" spans="1:120">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row>
    <row r="85" spans="1:120">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row>
    <row r="86" spans="1:120">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row>
    <row r="87" spans="1:120">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row>
    <row r="88" spans="1:120">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row>
    <row r="89" spans="1:120">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row>
    <row r="90" spans="1:12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row>
    <row r="91" spans="1:120">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row>
    <row r="92" spans="1:120">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row>
    <row r="93" spans="1:120">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row>
    <row r="94" spans="1:120">
      <c r="A94" s="25"/>
      <c r="B94" s="25"/>
      <c r="C94" s="25"/>
      <c r="D94" s="25"/>
      <c r="E94" s="25"/>
      <c r="F94" s="25"/>
      <c r="G94" s="25"/>
      <c r="H94" s="25"/>
      <c r="I94" s="25"/>
      <c r="J94" s="25"/>
      <c r="K94" s="25"/>
      <c r="L94" s="25"/>
      <c r="M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row>
    <row r="95" spans="1:120">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row>
    <row r="96" spans="1:120">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row>
    <row r="97" spans="29:101">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row>
    <row r="98" spans="29:101">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row>
    <row r="99" spans="29:101">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row>
    <row r="100" spans="29:101">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row>
    <row r="101" spans="29:101">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row>
    <row r="102" spans="29:101">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row>
    <row r="103" spans="29:101">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row>
    <row r="104" spans="29:101">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row>
    <row r="105" spans="29:101">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row>
    <row r="106" spans="29:101">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row>
    <row r="107" spans="29:101">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row>
    <row r="108" spans="29:101">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row>
    <row r="109" spans="29:101">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row>
    <row r="110" spans="29:101">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row>
    <row r="111" spans="29:101">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row>
    <row r="112" spans="29:101">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row>
    <row r="113" spans="29:47">
      <c r="AC113" s="25"/>
      <c r="AD113" s="25"/>
      <c r="AE113" s="25"/>
      <c r="AF113" s="25"/>
      <c r="AG113" s="25"/>
      <c r="AH113" s="25"/>
      <c r="AI113" s="25"/>
      <c r="AJ113" s="25"/>
      <c r="AK113" s="25"/>
      <c r="AL113" s="25"/>
      <c r="AM113" s="25"/>
      <c r="AN113" s="25"/>
      <c r="AO113" s="25"/>
      <c r="AP113" s="25"/>
      <c r="AQ113" s="25"/>
      <c r="AR113" s="25"/>
      <c r="AS113" s="25"/>
      <c r="AT113" s="25"/>
      <c r="AU113" s="25"/>
    </row>
    <row r="114" spans="29:47">
      <c r="AC114" s="25"/>
      <c r="AD114" s="25"/>
      <c r="AE114" s="25"/>
      <c r="AF114" s="25"/>
      <c r="AG114" s="25"/>
      <c r="AH114" s="25"/>
      <c r="AI114" s="25"/>
      <c r="AJ114" s="25"/>
      <c r="AK114" s="25"/>
      <c r="AL114" s="25"/>
      <c r="AM114" s="25"/>
      <c r="AN114" s="25"/>
      <c r="AO114" s="25"/>
      <c r="AP114" s="25"/>
      <c r="AQ114" s="25"/>
      <c r="AR114" s="25"/>
      <c r="AS114" s="25"/>
      <c r="AT114" s="25"/>
      <c r="AU114" s="25"/>
    </row>
    <row r="115" spans="29:47">
      <c r="AC115" s="25"/>
      <c r="AD115" s="25"/>
      <c r="AE115" s="25"/>
      <c r="AF115" s="25"/>
      <c r="AG115" s="25"/>
      <c r="AH115" s="25"/>
      <c r="AI115" s="25"/>
      <c r="AJ115" s="25"/>
      <c r="AK115" s="25"/>
      <c r="AL115" s="25"/>
      <c r="AM115" s="25"/>
      <c r="AN115" s="25"/>
      <c r="AO115" s="25"/>
      <c r="AP115" s="25"/>
      <c r="AQ115" s="25"/>
      <c r="AR115" s="25"/>
      <c r="AS115" s="25"/>
      <c r="AT115" s="25"/>
      <c r="AU115" s="25"/>
    </row>
    <row r="116" spans="29:47">
      <c r="AC116" s="25"/>
      <c r="AD116" s="25"/>
      <c r="AE116" s="25"/>
      <c r="AF116" s="25"/>
      <c r="AG116" s="25"/>
      <c r="AH116" s="25"/>
      <c r="AI116" s="25"/>
      <c r="AJ116" s="25"/>
      <c r="AK116" s="25"/>
      <c r="AL116" s="25"/>
      <c r="AM116" s="25"/>
      <c r="AN116" s="25"/>
      <c r="AO116" s="25"/>
      <c r="AP116" s="25"/>
      <c r="AQ116" s="25"/>
      <c r="AR116" s="25"/>
      <c r="AS116" s="25"/>
      <c r="AT116" s="25"/>
      <c r="AU116" s="25"/>
    </row>
    <row r="117" spans="29:47">
      <c r="AC117" s="25"/>
      <c r="AD117" s="25"/>
      <c r="AE117" s="25"/>
      <c r="AF117" s="25"/>
      <c r="AG117" s="25"/>
      <c r="AH117" s="25"/>
      <c r="AI117" s="25"/>
      <c r="AJ117" s="25"/>
      <c r="AK117" s="25"/>
      <c r="AL117" s="25"/>
      <c r="AM117" s="25"/>
      <c r="AN117" s="25"/>
      <c r="AO117" s="25"/>
      <c r="AP117" s="25"/>
      <c r="AQ117" s="25"/>
      <c r="AR117" s="25"/>
      <c r="AS117" s="25"/>
      <c r="AT117" s="25"/>
      <c r="AU117" s="25"/>
    </row>
    <row r="118" spans="29:47">
      <c r="AC118" s="25"/>
      <c r="AD118" s="25"/>
      <c r="AE118" s="25"/>
      <c r="AF118" s="25"/>
      <c r="AG118" s="25"/>
      <c r="AH118" s="25"/>
      <c r="AI118" s="25"/>
      <c r="AJ118" s="25"/>
      <c r="AK118" s="25"/>
      <c r="AL118" s="25"/>
      <c r="AM118" s="25"/>
      <c r="AN118" s="25"/>
      <c r="AO118" s="25"/>
      <c r="AP118" s="25"/>
      <c r="AQ118" s="25"/>
      <c r="AR118" s="25"/>
      <c r="AS118" s="25"/>
      <c r="AT118" s="25"/>
      <c r="AU118" s="25"/>
    </row>
    <row r="119" spans="29:47">
      <c r="AC119" s="25"/>
      <c r="AD119" s="25"/>
      <c r="AE119" s="25"/>
      <c r="AF119" s="25"/>
      <c r="AG119" s="25"/>
      <c r="AH119" s="25"/>
      <c r="AI119" s="25"/>
      <c r="AJ119" s="25"/>
      <c r="AK119" s="25"/>
      <c r="AL119" s="25"/>
      <c r="AM119" s="25"/>
      <c r="AN119" s="25"/>
      <c r="AO119" s="25"/>
      <c r="AP119" s="25"/>
      <c r="AQ119" s="25"/>
      <c r="AR119" s="25"/>
      <c r="AS119" s="25"/>
      <c r="AT119" s="25"/>
      <c r="AU119" s="25"/>
    </row>
    <row r="120" spans="29:47">
      <c r="AC120" s="25"/>
      <c r="AD120" s="25"/>
      <c r="AE120" s="25"/>
      <c r="AF120" s="25"/>
      <c r="AG120" s="25"/>
      <c r="AH120" s="25"/>
      <c r="AI120" s="25"/>
      <c r="AJ120" s="25"/>
      <c r="AK120" s="25"/>
      <c r="AL120" s="25"/>
      <c r="AM120" s="25"/>
      <c r="AN120" s="25"/>
      <c r="AO120" s="25"/>
      <c r="AP120" s="25"/>
      <c r="AQ120" s="25"/>
      <c r="AR120" s="25"/>
      <c r="AS120" s="25"/>
      <c r="AT120" s="25"/>
      <c r="AU120" s="25"/>
    </row>
    <row r="121" spans="29:47">
      <c r="AC121" s="25"/>
      <c r="AD121" s="25"/>
      <c r="AE121" s="25"/>
      <c r="AF121" s="25"/>
      <c r="AG121" s="25"/>
      <c r="AH121" s="25"/>
      <c r="AI121" s="25"/>
      <c r="AJ121" s="25"/>
      <c r="AK121" s="25"/>
      <c r="AL121" s="25"/>
      <c r="AM121" s="25"/>
      <c r="AN121" s="25"/>
      <c r="AO121" s="25"/>
      <c r="AP121" s="25"/>
      <c r="AQ121" s="25"/>
      <c r="AR121" s="25"/>
      <c r="AS121" s="25"/>
      <c r="AT121" s="25"/>
      <c r="AU121" s="25"/>
    </row>
    <row r="122" spans="29:47">
      <c r="AC122" s="25"/>
      <c r="AD122" s="25"/>
      <c r="AE122" s="25"/>
      <c r="AF122" s="25"/>
      <c r="AG122" s="25"/>
      <c r="AH122" s="25"/>
      <c r="AI122" s="25"/>
      <c r="AJ122" s="25"/>
      <c r="AK122" s="25"/>
      <c r="AL122" s="25"/>
      <c r="AM122" s="25"/>
      <c r="AN122" s="25"/>
      <c r="AO122" s="25"/>
      <c r="AP122" s="25"/>
      <c r="AQ122" s="25"/>
      <c r="AR122" s="25"/>
      <c r="AS122" s="25"/>
      <c r="AT122" s="25"/>
      <c r="AU122" s="25"/>
    </row>
    <row r="123" spans="29:47">
      <c r="AE123" s="25"/>
      <c r="AF123" s="25"/>
      <c r="AG123" s="25"/>
      <c r="AH123" s="25"/>
      <c r="AI123" s="25"/>
      <c r="AJ123" s="25"/>
      <c r="AK123" s="25"/>
      <c r="AL123" s="25"/>
      <c r="AM123" s="25"/>
      <c r="AN123" s="25"/>
      <c r="AO123" s="25"/>
      <c r="AP123" s="25"/>
      <c r="AQ123" s="25"/>
      <c r="AR123" s="25"/>
      <c r="AS123" s="25"/>
      <c r="AT123" s="25"/>
      <c r="AU123" s="25"/>
    </row>
    <row r="124" spans="29:47">
      <c r="AE124" s="25"/>
      <c r="AF124" s="25"/>
      <c r="AG124" s="25"/>
      <c r="AH124" s="25"/>
      <c r="AI124" s="25"/>
      <c r="AJ124" s="25"/>
      <c r="AK124" s="25"/>
      <c r="AL124" s="25"/>
      <c r="AM124" s="25"/>
      <c r="AN124" s="25"/>
      <c r="AO124" s="25"/>
      <c r="AP124" s="25"/>
      <c r="AQ124" s="25"/>
      <c r="AR124" s="25"/>
      <c r="AS124" s="25"/>
      <c r="AT124" s="25"/>
      <c r="AU124" s="25"/>
    </row>
  </sheetData>
  <phoneticPr fontId="2" type="noConversion"/>
  <conditionalFormatting sqref="V25:Z43">
    <cfRule type="expression" dxfId="5" priority="4">
      <formula>V$25=$A$60</formula>
    </cfRule>
    <cfRule type="expression" dxfId="4" priority="5">
      <formula>V$25=$A$60</formula>
    </cfRule>
    <cfRule type="expression" dxfId="3" priority="6">
      <formula>V$25=$A$60</formula>
    </cfRule>
  </conditionalFormatting>
  <conditionalFormatting sqref="V26:Z43">
    <cfRule type="dataBar" priority="7">
      <dataBar>
        <cfvo type="min"/>
        <cfvo type="max"/>
        <color rgb="FF04EC5C"/>
      </dataBar>
      <extLst>
        <ext xmlns:x14="http://schemas.microsoft.com/office/spreadsheetml/2009/9/main" uri="{B025F937-C7B1-47D3-B67F-A62EFF666E3E}">
          <x14:id>{53EF2173-7B29-492F-BD0E-C9CA68AAC226}</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53EF2173-7B29-492F-BD0E-C9CA68AAC226}">
            <x14:dataBar minLength="0" maxLength="100" gradient="0">
              <x14:cfvo type="autoMin"/>
              <x14:cfvo type="autoMax"/>
              <x14:negativeFillColor rgb="FFFF0000"/>
              <x14:axisColor rgb="FF000000"/>
            </x14:dataBar>
          </x14:cfRule>
          <xm:sqref>V26:Z43</xm:sqref>
        </x14:conditionalFormatting>
        <x14:conditionalFormatting xmlns:xm="http://schemas.microsoft.com/office/excel/2006/main">
          <x14:cfRule type="expression" priority="1" id="{77DB6AB0-3AC9-4CD8-80FC-5C63584B513C}">
            <xm:f>V$25=pivot!$A$60</xm:f>
            <x14:dxf>
              <fill>
                <patternFill>
                  <bgColor theme="4" tint="0.59996337778862885"/>
                </patternFill>
              </fill>
              <border>
                <left style="thin">
                  <color auto="1"/>
                </left>
                <right style="thin">
                  <color auto="1"/>
                </right>
                <vertical/>
                <horizontal/>
              </border>
            </x14:dxf>
          </x14:cfRule>
          <x14:cfRule type="expression" priority="2" id="{592C14C4-2321-48B6-893F-C9A25B0AB952}">
            <xm:f>$V$25=pivot!$A$60</xm:f>
            <x14:dxf>
              <fill>
                <patternFill>
                  <bgColor theme="4" tint="0.79998168889431442"/>
                </patternFill>
              </fill>
              <border>
                <left style="thin">
                  <color theme="1"/>
                </left>
                <right style="thin">
                  <color theme="1"/>
                </right>
                <vertical/>
                <horizontal/>
              </border>
            </x14:dxf>
          </x14:cfRule>
          <x14:cfRule type="expression" priority="3" id="{5F95B2FA-8077-4B63-BF02-8B378913391D}">
            <xm:f>V$25=pivot!$A$60</xm:f>
            <x14:dxf>
              <fill>
                <patternFill>
                  <bgColor theme="6" tint="0.59996337778862885"/>
                </patternFill>
              </fill>
              <border>
                <left style="thin">
                  <color auto="1"/>
                </left>
                <right style="thin">
                  <color auto="1"/>
                </right>
                <vertical/>
                <horizontal/>
              </border>
            </x14:dxf>
          </x14:cfRule>
          <xm:sqref>V25:Z43</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Guest User</cp:lastModifiedBy>
  <cp:revision/>
  <dcterms:created xsi:type="dcterms:W3CDTF">2021-03-14T20:21:32Z</dcterms:created>
  <dcterms:modified xsi:type="dcterms:W3CDTF">2025-12-15T13:37:30Z</dcterms:modified>
  <cp:category/>
  <cp:contentStatus/>
</cp:coreProperties>
</file>